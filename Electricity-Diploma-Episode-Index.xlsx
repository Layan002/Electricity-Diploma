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isod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'Episodes'!$A$4:$P$40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family val="2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4" authorId="0" shapeId="0">
      <text>
        <t>Click to open the episode's README on GitHub. To add a link: right-click → Link, paste the README URL.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Layan002/electricity-diploma/blob/main/professional-electronic-design-course/ep08-transistor-circuits-light-bulb-factory/README.md" TargetMode="External" Id="rId1"/><Relationship Type="http://schemas.openxmlformats.org/officeDocument/2006/relationships/hyperlink" Target="https://www.youtube.com/watch?v=qVGQhxMi4MI&amp;list=PLww54WQ2wa5qVh1p8iPi7HspX7N9hbvbc&amp;index=146" TargetMode="External" Id="rId2"/><Relationship Type="http://schemas.openxmlformats.org/officeDocument/2006/relationships/hyperlink" Target="https://github.com/Layan002/electricity-diploma/blob/main/professional-electronic-design-course/ep09-motor-switch-monitor-leds/README.md" TargetMode="External" Id="rId3"/><Relationship Type="http://schemas.openxmlformats.org/officeDocument/2006/relationships/hyperlink" Target="https://www.youtube.com/watch?v=gldZtiZqnuU&amp;list=PLww54WQ2wa5qVh1p8iPi7HspX7N9hbvbc&amp;index=147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7" customWidth="1" style="20" min="2" max="2"/>
    <col width="34" customWidth="1" style="20" min="3" max="3"/>
    <col width="13" customWidth="1" style="20" min="4" max="5"/>
    <col width="14" customWidth="1" style="20" min="6" max="6"/>
    <col width="12" customWidth="1" style="20" min="7" max="7"/>
    <col width="42" customWidth="1" style="20" min="8" max="8"/>
    <col width="40" customWidth="1" style="20" min="9" max="9"/>
    <col width="36" customWidth="1" style="20" min="10" max="10"/>
    <col width="38" customWidth="1" style="20" min="11" max="11"/>
    <col width="52" customWidth="1" style="20" min="12" max="12"/>
    <col width="42" customWidth="1" style="20" min="13" max="13"/>
    <col width="40" customWidth="1" style="20" min="14" max="14"/>
    <col width="48" customWidth="1" style="20" min="15" max="15"/>
    <col width="40" customWidth="1" style="20" min="16" max="16"/>
  </cols>
  <sheetData>
    <row r="1" ht="19.7" customHeight="1" s="21">
      <c r="A1" s="22" t="inlineStr">
        <is>
          <t>Electricity Diploma — Episode Index</t>
        </is>
      </c>
    </row>
    <row r="2" ht="15" customHeight="1" s="21">
      <c r="A2" s="23" t="inlineStr">
        <is>
          <t>Waleed Issa Academy (YouTube, Arabic) · My English notes, Circuit Wizard simulations and results · Repo: https://github.com/Layan002/electricity-diploma</t>
        </is>
      </c>
    </row>
    <row r="4" ht="31.5" customHeight="1" s="21">
      <c r="A4" s="24" t="inlineStr">
        <is>
          <t>Course</t>
        </is>
      </c>
      <c r="B4" s="24" t="inlineStr">
        <is>
          <t>Ep #</t>
        </is>
      </c>
      <c r="C4" s="24" t="inlineStr">
        <is>
          <t>Episode Title</t>
        </is>
      </c>
      <c r="D4" s="24" t="inlineStr">
        <is>
          <t>Status</t>
        </is>
      </c>
      <c r="E4" s="24" t="inlineStr">
        <is>
          <t>Date Added</t>
        </is>
      </c>
      <c r="F4" s="24" t="inlineStr">
        <is>
          <t>README</t>
        </is>
      </c>
      <c r="G4" s="24" t="inlineStr">
        <is>
          <t>Video</t>
        </is>
      </c>
      <c r="H4" s="24" t="inlineStr">
        <is>
          <t>Concepts Covered</t>
        </is>
      </c>
      <c r="I4" s="24" t="inlineStr">
        <is>
          <t>Circuits Built</t>
        </is>
      </c>
      <c r="J4" s="24" t="inlineStr">
        <is>
          <t>Key Formulas</t>
        </is>
      </c>
      <c r="K4" s="24" t="inlineStr">
        <is>
          <t>Main Components</t>
        </is>
      </c>
      <c r="L4" s="24" t="inlineStr">
        <is>
          <t>Simulation Results (Circuit Wizard)</t>
        </is>
      </c>
      <c r="M4" s="24" t="inlineStr">
        <is>
          <t>Hardware Results (from video)</t>
        </is>
      </c>
      <c r="N4" s="24" t="inlineStr">
        <is>
          <t>Media in Folder</t>
        </is>
      </c>
      <c r="O4" s="24" t="inlineStr">
        <is>
          <t>What I Learned</t>
        </is>
      </c>
      <c r="P4" s="24" t="inlineStr">
        <is>
          <t>Notes / To-Do</t>
        </is>
      </c>
    </row>
    <row r="5" ht="165" customHeight="1" s="21">
      <c r="A5" s="25" t="inlineStr">
        <is>
          <t>Professional Electronic Design Course</t>
        </is>
      </c>
      <c r="B5" s="26" t="n">
        <v>8</v>
      </c>
      <c r="C5" s="25" t="inlineStr">
        <is>
          <t>Various transistor circuits and circuit design for a light bulb factory</t>
        </is>
      </c>
      <c r="D5" s="27" t="inlineStr">
        <is>
          <t>Done</t>
        </is>
      </c>
      <c r="E5" s="28" t="n">
        <v>46311</v>
      </c>
      <c r="F5" s="29" t="inlineStr">
        <is>
          <t>Open README</t>
        </is>
      </c>
      <c r="G5" s="29" t="inlineStr">
        <is>
          <t>Watch video</t>
        </is>
      </c>
      <c r="H5" s="25" t="inlineStr">
        <is>
          <t>• Push-pull (complementary NPN/PNP) pair to steer current between two LEDs
• Current-sensing transistor: sense resistor between base and emitter
• Combining small blocks into a bigger design
• Pull-up resistor as sensitivity calibration</t>
        </is>
      </c>
      <c r="I5" s="25" t="inlineStr">
        <is>
          <t>1. Push-pull LED selector (9 V)
2. Current-sense LED indicator (12 V, 0.6 Ω)
3. Light bulb tester: red if load &gt; 1 A, green if ≤ 1 A</t>
        </is>
      </c>
      <c r="J5" s="25" t="inlineStr">
        <is>
          <t>V_BE = I_load × R_s
I_trip ≈ 0.7 V / R_s
P = I² × R
I_LED ≈ (V_s − 0.7 − V_LED) / R</t>
        </is>
      </c>
      <c r="K5" s="25" t="inlineStr">
        <is>
          <t>BC547B (NPN) ×2, 2N5401 (PNP), R_s = 0.6 Ω (sim) / 3 × 1.5 Ω ∥ = 0.5 Ω (hardware), R3 = 4.7 kΩ pull-up, 2 × 220 Ω, red + green LED, 12 V supply</t>
        </is>
      </c>
      <c r="L5" s="25" t="inlineStr">
        <is>
          <t>• Push-pull: only one LED lit at a time ✔
• Current sensor: OFF at 1.0 A, dim at 1.1 A, bright at 1.2–1.5 A ✔
• Bulb tester: green at 0 / 0.5 A ✔, red + green at 1.0–1.1 A (transition), red only at 1.2 A ✔</t>
        </is>
      </c>
      <c r="M5" s="25" t="inlineStr">
        <is>
          <t>No load 0.038 A → green ✔
Bulb 1: 1.6 A → red ✔
Bulb 2: 0.19 A → green ✔</t>
        </is>
      </c>
      <c r="N5" s="25" t="inlineStr">
        <is>
          <t>3 screenshots (.png), 3 simulation GIFs + MP4s: push-pull switching, current-sense threshold, bulb-tester sweep</t>
        </is>
      </c>
      <c r="O5" s="25" t="inlineStr">
        <is>
          <t>A resistor between base and emitter turns a transistor into a current-threshold detector; a complementary pair lets one signal choose between two loads; always check sense-resistor power.</t>
        </is>
      </c>
      <c r="P5" s="25" t="inlineStr">
        <is>
          <t>Switch point in my sim is ≈ 1.2 A (video ≈ 1.1 A): try R3 = 5.6 kΩ or R4 ≈ 0.62–0.65 Ω. Sense resistors exceed ¼ W at 1.6 A → use ½–1 W.</t>
        </is>
      </c>
    </row>
    <row r="6" ht="165" customHeight="1" s="21">
      <c r="A6" s="25" t="inlineStr">
        <is>
          <t>Professional Electronic Design Course</t>
        </is>
      </c>
      <c r="B6" s="26" t="n">
        <v>9</v>
      </c>
      <c r="C6" s="25" t="inlineStr">
        <is>
          <t>Designing a motor control switch monitoring circuit with LEDs</t>
        </is>
      </c>
      <c r="D6" s="27" t="inlineStr">
        <is>
          <t>Done</t>
        </is>
      </c>
      <c r="E6" s="28" t="n">
        <v>46316</v>
      </c>
      <c r="F6" s="20" t="inlineStr">
        <is>
          <t>Open README</t>
        </is>
      </c>
      <c r="G6" s="20" t="inlineStr">
        <is>
          <t>Watch video</t>
        </is>
      </c>
      <c r="H6" s="25" t="inlineStr">
        <is>
          <t>• A lit LED holds ≈ 2–2.4 V across itself (acts like a regulator)
• A parallel branch needing more than that voltage stays off
• Raising a branch's turn-on voltage with series diodes or a Zener
• Transistor as a short across an LED; shared vs. separate resistors</t>
        </is>
      </c>
      <c r="I6" s="25" t="inlineStr">
        <is>
          <t>1. LED voltage vs. supply experiment (5–15 V)
2. Red/green switch monitor with 3 series diodes
3. Same with a 5.1 V Zener
4. Same with an NPN transistor shorting the red LED (separate resistors)</t>
        </is>
      </c>
      <c r="J6" s="25" t="inlineStr">
        <is>
          <t>V_branch = n × 0.7 V + V_F (diodes)
V_branch = V_Z + V_F (Zener)
Branch off if V_branch &gt; V_F,green ≈ 2 V
V_green = V_s − I × R_shared</t>
        </is>
      </c>
      <c r="K6" s="25" t="inlineStr">
        <is>
          <t>12 V supply, DC motor, SPST switch, 3 × silicon diode, 1N751 5.1 V Zener, NPN transistor, 1 kΩ resistors, red + green LED</t>
        </is>
      </c>
      <c r="L6" s="25" t="inlineStr">
        <is>
          <t>• 3 diodes: open → red 2.16 V, 8.08 mA ✔; closed → green 2.31 V, red 0.94 V (off) ✔
• Zener: open → red on, Zener 5.11 V, 5.21 mA ✔; closed → green ≈ 2.45 V, Zener 4.68 V (off) ✔</t>
        </is>
      </c>
      <c r="M6" s="25" t="inlineStr">
        <is>
          <t>All three boards switch red ↔ green correctly with a lamp load. Diodes stay cool, Zener slightly warm, transistor design's resistor gets warm.</t>
        </is>
      </c>
      <c r="N6" s="25" t="inlineStr">
        <is>
          <t>3 simulation GIFs + MP4s: three-diodes switching, Zener first press, Zener toggling</t>
        </is>
      </c>
      <c r="O6" s="25" t="inlineStr">
        <is>
          <t>A lit LED clamps anything in parallel to ≈ 2 V, so making the other branch need more voltage forces it off. A transistor short works too, but each LED then needs its own resistor.</t>
        </is>
      </c>
      <c r="P6" s="25" t="inlineStr">
        <is>
          <t>Transistor design: shared 1 kΩ dropped ≈ 10.8 V, leaving ≈ 1.2–1.6 V for green (off) → fixed with separate resistors. No transistor-design sim recorded yet.</t>
        </is>
      </c>
    </row>
    <row r="7" ht="15" customHeight="1" s="21">
      <c r="A7" s="30" t="n"/>
      <c r="B7" s="30" t="n"/>
      <c r="C7" s="30" t="n"/>
      <c r="D7" s="30" t="n"/>
      <c r="E7" s="31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</row>
    <row r="8" ht="15" customHeight="1" s="21">
      <c r="A8" s="30" t="n"/>
      <c r="B8" s="30" t="n"/>
      <c r="C8" s="30" t="n"/>
      <c r="D8" s="30" t="n"/>
      <c r="E8" s="31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</row>
    <row r="9" ht="15" customHeight="1" s="21">
      <c r="A9" s="30" t="n"/>
      <c r="B9" s="30" t="n"/>
      <c r="C9" s="30" t="n"/>
      <c r="D9" s="30" t="n"/>
      <c r="E9" s="31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</row>
    <row r="10" ht="15" customHeight="1" s="21">
      <c r="A10" s="30" t="n"/>
      <c r="B10" s="30" t="n"/>
      <c r="C10" s="30" t="n"/>
      <c r="D10" s="30" t="n"/>
      <c r="E10" s="31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</row>
    <row r="11" ht="15" customHeight="1" s="21">
      <c r="A11" s="30" t="n"/>
      <c r="B11" s="30" t="n"/>
      <c r="C11" s="30" t="n"/>
      <c r="D11" s="30" t="n"/>
      <c r="E11" s="31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</row>
    <row r="12" ht="15" customHeight="1" s="21">
      <c r="A12" s="30" t="n"/>
      <c r="B12" s="30" t="n"/>
      <c r="C12" s="30" t="n"/>
      <c r="D12" s="30" t="n"/>
      <c r="E12" s="31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  <c r="O12" s="30" t="n"/>
      <c r="P12" s="30" t="n"/>
    </row>
    <row r="13" ht="15" customHeight="1" s="21">
      <c r="A13" s="30" t="n"/>
      <c r="B13" s="30" t="n"/>
      <c r="C13" s="30" t="n"/>
      <c r="D13" s="30" t="n"/>
      <c r="E13" s="31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</row>
    <row r="14" ht="15" customHeight="1" s="21">
      <c r="A14" s="30" t="n"/>
      <c r="B14" s="30" t="n"/>
      <c r="C14" s="30" t="n"/>
      <c r="D14" s="30" t="n"/>
      <c r="E14" s="31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  <c r="O14" s="30" t="n"/>
      <c r="P14" s="30" t="n"/>
    </row>
    <row r="15" ht="15" customHeight="1" s="21">
      <c r="A15" s="30" t="n"/>
      <c r="B15" s="30" t="n"/>
      <c r="C15" s="30" t="n"/>
      <c r="D15" s="30" t="n"/>
      <c r="E15" s="31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</row>
    <row r="16" ht="15" customHeight="1" s="21">
      <c r="A16" s="30" t="n"/>
      <c r="B16" s="30" t="n"/>
      <c r="C16" s="30" t="n"/>
      <c r="D16" s="30" t="n"/>
      <c r="E16" s="31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  <c r="O16" s="30" t="n"/>
      <c r="P16" s="30" t="n"/>
    </row>
    <row r="17" ht="15" customHeight="1" s="21">
      <c r="A17" s="30" t="n"/>
      <c r="B17" s="30" t="n"/>
      <c r="C17" s="30" t="n"/>
      <c r="D17" s="30" t="n"/>
      <c r="E17" s="31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</row>
    <row r="18" ht="15" customHeight="1" s="21">
      <c r="A18" s="30" t="n"/>
      <c r="B18" s="30" t="n"/>
      <c r="C18" s="30" t="n"/>
      <c r="D18" s="30" t="n"/>
      <c r="E18" s="31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</row>
    <row r="19" ht="15" customHeight="1" s="21">
      <c r="A19" s="30" t="n"/>
      <c r="B19" s="30" t="n"/>
      <c r="C19" s="30" t="n"/>
      <c r="D19" s="30" t="n"/>
      <c r="E19" s="31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</row>
    <row r="20" ht="15" customHeight="1" s="21">
      <c r="A20" s="30" t="n"/>
      <c r="B20" s="30" t="n"/>
      <c r="C20" s="30" t="n"/>
      <c r="D20" s="30" t="n"/>
      <c r="E20" s="31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</row>
    <row r="21" ht="15" customHeight="1" s="21">
      <c r="A21" s="30" t="n"/>
      <c r="B21" s="30" t="n"/>
      <c r="C21" s="30" t="n"/>
      <c r="D21" s="30" t="n"/>
      <c r="E21" s="31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</row>
    <row r="22" ht="15" customHeight="1" s="21">
      <c r="A22" s="30" t="n"/>
      <c r="B22" s="30" t="n"/>
      <c r="C22" s="30" t="n"/>
      <c r="D22" s="30" t="n"/>
      <c r="E22" s="31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  <c r="O22" s="30" t="n"/>
      <c r="P22" s="30" t="n"/>
    </row>
    <row r="23" ht="15" customHeight="1" s="21">
      <c r="A23" s="30" t="n"/>
      <c r="B23" s="30" t="n"/>
      <c r="C23" s="30" t="n"/>
      <c r="D23" s="30" t="n"/>
      <c r="E23" s="31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</row>
    <row r="24" ht="15" customHeight="1" s="21">
      <c r="A24" s="30" t="n"/>
      <c r="B24" s="30" t="n"/>
      <c r="C24" s="30" t="n"/>
      <c r="D24" s="30" t="n"/>
      <c r="E24" s="31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  <c r="O24" s="30" t="n"/>
      <c r="P24" s="30" t="n"/>
    </row>
    <row r="25" ht="15" customHeight="1" s="21">
      <c r="A25" s="30" t="n"/>
      <c r="B25" s="30" t="n"/>
      <c r="C25" s="30" t="n"/>
      <c r="D25" s="30" t="n"/>
      <c r="E25" s="31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</row>
    <row r="26" ht="15" customHeight="1" s="21">
      <c r="A26" s="30" t="n"/>
      <c r="B26" s="30" t="n"/>
      <c r="C26" s="30" t="n"/>
      <c r="D26" s="30" t="n"/>
      <c r="E26" s="31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  <c r="O26" s="30" t="n"/>
      <c r="P26" s="30" t="n"/>
    </row>
    <row r="27" ht="15" customHeight="1" s="21">
      <c r="A27" s="30" t="n"/>
      <c r="B27" s="30" t="n"/>
      <c r="C27" s="30" t="n"/>
      <c r="D27" s="30" t="n"/>
      <c r="E27" s="31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</row>
    <row r="28" ht="15" customHeight="1" s="21">
      <c r="A28" s="30" t="n"/>
      <c r="B28" s="30" t="n"/>
      <c r="C28" s="30" t="n"/>
      <c r="D28" s="30" t="n"/>
      <c r="E28" s="31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  <c r="O28" s="30" t="n"/>
      <c r="P28" s="30" t="n"/>
    </row>
    <row r="29" ht="15" customHeight="1" s="21">
      <c r="A29" s="30" t="n"/>
      <c r="B29" s="30" t="n"/>
      <c r="C29" s="30" t="n"/>
      <c r="D29" s="30" t="n"/>
      <c r="E29" s="31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</row>
    <row r="30" ht="15" customHeight="1" s="21">
      <c r="A30" s="30" t="n"/>
      <c r="B30" s="30" t="n"/>
      <c r="C30" s="30" t="n"/>
      <c r="D30" s="30" t="n"/>
      <c r="E30" s="31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30" t="n"/>
      <c r="P30" s="30" t="n"/>
    </row>
    <row r="31" ht="15" customHeight="1" s="21">
      <c r="A31" s="30" t="n"/>
      <c r="B31" s="30" t="n"/>
      <c r="C31" s="30" t="n"/>
      <c r="D31" s="30" t="n"/>
      <c r="E31" s="31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</row>
    <row r="32" ht="15" customHeight="1" s="21">
      <c r="A32" s="30" t="n"/>
      <c r="B32" s="30" t="n"/>
      <c r="C32" s="30" t="n"/>
      <c r="D32" s="30" t="n"/>
      <c r="E32" s="31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</row>
    <row r="33" ht="15" customHeight="1" s="21">
      <c r="A33" s="30" t="n"/>
      <c r="B33" s="30" t="n"/>
      <c r="C33" s="30" t="n"/>
      <c r="D33" s="30" t="n"/>
      <c r="E33" s="31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</row>
    <row r="34" ht="15" customHeight="1" s="21">
      <c r="A34" s="30" t="n"/>
      <c r="B34" s="30" t="n"/>
      <c r="C34" s="30" t="n"/>
      <c r="D34" s="30" t="n"/>
      <c r="E34" s="31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  <c r="O34" s="30" t="n"/>
      <c r="P34" s="30" t="n"/>
    </row>
    <row r="35" ht="15" customHeight="1" s="21">
      <c r="A35" s="30" t="n"/>
      <c r="B35" s="30" t="n"/>
      <c r="C35" s="30" t="n"/>
      <c r="D35" s="30" t="n"/>
      <c r="E35" s="31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</row>
    <row r="36" ht="15" customHeight="1" s="21">
      <c r="A36" s="30" t="n"/>
      <c r="B36" s="30" t="n"/>
      <c r="C36" s="30" t="n"/>
      <c r="D36" s="30" t="n"/>
      <c r="E36" s="31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0" t="n"/>
      <c r="P36" s="30" t="n"/>
    </row>
    <row r="37" ht="15" customHeight="1" s="21">
      <c r="A37" s="30" t="n"/>
      <c r="B37" s="30" t="n"/>
      <c r="C37" s="30" t="n"/>
      <c r="D37" s="30" t="n"/>
      <c r="E37" s="31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</row>
    <row r="38" ht="15" customHeight="1" s="21">
      <c r="A38" s="30" t="n"/>
      <c r="B38" s="30" t="n"/>
      <c r="C38" s="30" t="n"/>
      <c r="D38" s="30" t="n"/>
      <c r="E38" s="31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  <c r="O38" s="30" t="n"/>
      <c r="P38" s="30" t="n"/>
    </row>
    <row r="39" ht="15" customHeight="1" s="21">
      <c r="A39" s="30" t="n"/>
      <c r="B39" s="30" t="n"/>
      <c r="C39" s="30" t="n"/>
      <c r="D39" s="30" t="n"/>
      <c r="E39" s="31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</row>
    <row r="40" ht="15" customHeight="1" s="21">
      <c r="A40" s="30" t="n"/>
      <c r="B40" s="30" t="n"/>
      <c r="C40" s="30" t="n"/>
      <c r="D40" s="30" t="n"/>
      <c r="E40" s="31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  <c r="O40" s="30" t="n"/>
      <c r="P40" s="30" t="n"/>
    </row>
  </sheetData>
  <autoFilter ref="A4:P40"/>
  <mergeCells count="2">
    <mergeCell ref="A1:P1"/>
    <mergeCell ref="A2:P2"/>
  </mergeCells>
  <dataValidations count="1">
    <dataValidation sqref="D5:D40" showDropDown="0" showInputMessage="0" showErrorMessage="0" allowBlank="1" type="list" errorStyle="stop" operator="between">
      <formula1>"Done,In progress,Not started"</formula1>
      <formula2>0</formula2>
    </dataValidation>
  </dataValidations>
  <hyperlinks>
    <hyperlink xmlns:r="http://schemas.openxmlformats.org/officeDocument/2006/relationships" ref="F5" display="Open README" r:id="rId1"/>
    <hyperlink xmlns:r="http://schemas.openxmlformats.org/officeDocument/2006/relationships" ref="G5" display="Watch video" r:id="rId2"/>
    <hyperlink xmlns:r="http://schemas.openxmlformats.org/officeDocument/2006/relationships" ref="F6" r:id="rId3"/>
    <hyperlink xmlns:r="http://schemas.openxmlformats.org/officeDocument/2006/relationships" ref="G6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14" customWidth="1" style="20" min="2" max="2"/>
  </cols>
  <sheetData>
    <row r="1" ht="17.35" customHeight="1" s="21">
      <c r="A1" s="32" t="inlineStr">
        <is>
          <t>Progress Summary</t>
        </is>
      </c>
    </row>
    <row r="2" ht="15" customHeight="1" s="21">
      <c r="A2" s="33" t="inlineStr">
        <is>
          <t>Metric</t>
        </is>
      </c>
      <c r="B2" s="33" t="inlineStr">
        <is>
          <t>Value</t>
        </is>
      </c>
    </row>
    <row r="3" ht="15" customHeight="1" s="21">
      <c r="A3" s="34" t="inlineStr">
        <is>
          <t>Episodes logged</t>
        </is>
      </c>
      <c r="B3" s="35">
        <f>COUNTA(Episodes!B5:B40)</f>
        <v/>
      </c>
    </row>
    <row r="4" ht="15" customHeight="1" s="21">
      <c r="A4" s="34" t="inlineStr">
        <is>
          <t>Done</t>
        </is>
      </c>
      <c r="B4" s="35">
        <f>COUNTIF(Episodes!D5:D40,"Done")</f>
        <v/>
      </c>
    </row>
    <row r="5" ht="15" customHeight="1" s="21">
      <c r="A5" s="34" t="inlineStr">
        <is>
          <t>In progress</t>
        </is>
      </c>
      <c r="B5" s="35">
        <f>COUNTIF(Episodes!D5:D40,"In progress")</f>
        <v/>
      </c>
    </row>
    <row r="6" ht="15" customHeight="1" s="21">
      <c r="A6" s="34" t="inlineStr">
        <is>
          <t>Not started</t>
        </is>
      </c>
      <c r="B6" s="35">
        <f>COUNTIF(Episodes!D5:D40,"Not started")</f>
        <v/>
      </c>
    </row>
    <row r="7" ht="15" customHeight="1" s="21">
      <c r="A7" s="34" t="inlineStr">
        <is>
          <t>% done</t>
        </is>
      </c>
      <c r="B7" s="36">
        <f>IF(B3=0,0,B4/B3)</f>
        <v/>
      </c>
    </row>
    <row r="8" ht="15" customHeight="1" s="21">
      <c r="A8" s="34" t="inlineStr">
        <is>
          <t>Latest episode #</t>
        </is>
      </c>
      <c r="B8" s="35">
        <f>IF(B3=0,"-",MAX(Episodes!B5:B40))</f>
        <v/>
      </c>
    </row>
    <row r="10" ht="15" customHeight="1" s="21">
      <c r="A10" s="37" t="inlineStr">
        <is>
          <t>Per course</t>
        </is>
      </c>
    </row>
    <row r="11" ht="15" customHeight="1" s="21">
      <c r="A11" s="34" t="inlineStr">
        <is>
          <t>Professional Electronic Design Course</t>
        </is>
      </c>
      <c r="B11" s="34">
        <f>COUNTIF(Episodes!A5:A40,A11)</f>
        <v/>
      </c>
    </row>
    <row r="12" ht="15" customHeight="1" s="21">
      <c r="A12" s="38" t="inlineStr">
        <is>
          <t>(add course 2 name)</t>
        </is>
      </c>
      <c r="B12" s="34">
        <f>COUNTIF(Episodes!A5:A40,A12)</f>
        <v/>
      </c>
    </row>
    <row r="13" ht="15" customHeight="1" s="21">
      <c r="A13" s="38" t="inlineStr">
        <is>
          <t>(add course 3 name)</t>
        </is>
      </c>
      <c r="B13" s="34">
        <f>COUNTIF(Episodes!A5:A40,A13)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0" min="1" max="1"/>
  </cols>
  <sheetData>
    <row r="1" ht="17.35" customHeight="1" s="21">
      <c r="A1" s="39" t="inlineStr">
        <is>
          <t>How to use this index</t>
        </is>
      </c>
    </row>
    <row r="2" ht="15" customHeight="1" s="21">
      <c r="A2" s="40" t="n"/>
    </row>
    <row r="3" ht="15" customHeight="1" s="21">
      <c r="A3" s="40" t="inlineStr">
        <is>
          <t>• One row per episode on the Episodes sheet. Row 5 (ep08) is a filled example of the expected format.</t>
        </is>
      </c>
    </row>
    <row r="4" ht="15" customHeight="1" s="21">
      <c r="A4" s="40" t="inlineStr">
        <is>
          <t>• Status: pick Done / In progress / Not started from the dropdown. The Summary sheet counts these automatically.</t>
        </is>
      </c>
    </row>
    <row r="5" ht="15" customHeight="1" s="21">
      <c r="A5" s="40" t="inlineStr">
        <is>
          <t>• README / Video: write the label, then right-click → Link and paste the GitHub README URL or YouTube URL.</t>
        </is>
      </c>
    </row>
    <row r="6" ht="15" customHeight="1" s="21">
      <c r="A6" s="40" t="inlineStr">
        <is>
          <t>• README URL pattern: https://github.com/Layan002/electricity-diploma/blob/main/&lt;course-folder&gt;/&lt;episode-folder&gt;/README.md</t>
        </is>
      </c>
    </row>
    <row r="7" ht="15" customHeight="1" s="21">
      <c r="A7" s="40" t="inlineStr">
        <is>
          <t>• Use the filter arrows in row 4 to filter by course or status.</t>
        </is>
      </c>
    </row>
    <row r="8" ht="15" customHeight="1" s="21">
      <c r="A8" s="40" t="inlineStr">
        <is>
          <t>• Yellow cells on the Summary sheet are placeholders for the other two course names.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2026-10-16T06:00:16Z</dcterms:created>
  <dcterms:modified xmlns:dcterms="http://purl.org/dc/terms/" xmlns:xsi="http://www.w3.org/2001/XMLSchema-instance" xsi:type="dcterms:W3CDTF">2026-10-20T21:00:40Z</dcterms:modified>
  <cp:revision>0</cp:revision>
</cp:coreProperties>
</file>