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piso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'Episodes'!$A$4:$P$200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563C1"/>
      <sz val="10"/>
      <u val="single"/>
    </font>
    <font>
      <name val="Arial"/>
      <family val="2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sz val="14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9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164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164" fontId="7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9" fontId="11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4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F4" authorId="0" shapeId="0">
      <text>
        <t>Click to open the episode's README on GitHub. To add a link: right-click → Link, paste the README URL.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Layan002/electricity-diploma/blob/main/professional-electronic-design-course/ep08-transistor-circuits-light-bulb-factory/README.md" TargetMode="External" Id="rId1"/><Relationship Type="http://schemas.openxmlformats.org/officeDocument/2006/relationships/hyperlink" Target="https://www.youtube.com/watch?v=qVGQhxMi4MI&amp;list=PLww54WQ2wa5qVh1p8iPi7HspX7N9hbvbc&amp;index=146" TargetMode="External" Id="rId2"/><Relationship Type="http://schemas.openxmlformats.org/officeDocument/2006/relationships/hyperlink" Target="https://github.com/Layan002/electricity-diploma/blob/main/professional-electronic-design-course/ep09-motor-switch-monitor-leds/README.md" TargetMode="External" Id="rId3"/><Relationship Type="http://schemas.openxmlformats.org/officeDocument/2006/relationships/hyperlink" Target="https://www.youtube.com/watch?v=gldZtiZqnuU&amp;list=PLww54WQ2wa5qVh1p8iPi7HspX7N9hbvbc&amp;index=147" TargetMode="External" Id="rId4"/><Relationship Type="http://schemas.openxmlformats.org/officeDocument/2006/relationships/hyperlink" Target="https://github.com/Layan002/electricity-diploma/blob/main/professional-electronic-design-course/ep10-battery-charge-status-monitor/README.md" TargetMode="External" Id="rId5"/><Relationship Type="http://schemas.openxmlformats.org/officeDocument/2006/relationships/hyperlink" Target="https://www.youtube.com/watch?v=ut-fORok8qY&amp;list=PLww54WQ2wa5qVh1p8iPi7HspX7N9hbvbc&amp;index=148" TargetMode="External" Id="rId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20" min="1" max="1"/>
    <col width="7" customWidth="1" style="20" min="2" max="2"/>
    <col width="34" customWidth="1" style="20" min="3" max="3"/>
    <col width="13" customWidth="1" style="20" min="4" max="5"/>
    <col width="14" customWidth="1" style="20" min="6" max="6"/>
    <col width="12" customWidth="1" style="20" min="7" max="7"/>
    <col width="42" customWidth="1" style="20" min="8" max="8"/>
    <col width="40" customWidth="1" style="20" min="9" max="9"/>
    <col width="36" customWidth="1" style="20" min="10" max="10"/>
    <col width="38" customWidth="1" style="20" min="11" max="11"/>
    <col width="52" customWidth="1" style="20" min="12" max="12"/>
    <col width="42" customWidth="1" style="20" min="13" max="13"/>
    <col width="40" customWidth="1" style="20" min="14" max="14"/>
    <col width="48" customWidth="1" style="20" min="15" max="15"/>
    <col width="40" customWidth="1" style="20" min="16" max="16"/>
  </cols>
  <sheetData>
    <row r="1" ht="19.7" customHeight="1" s="21">
      <c r="A1" s="22" t="inlineStr">
        <is>
          <t>Electricity Diploma — Episode Index</t>
        </is>
      </c>
    </row>
    <row r="2" ht="15" customHeight="1" s="21">
      <c r="A2" s="23" t="inlineStr">
        <is>
          <t>Waleed Issa Academy (YouTube, Arabic) · My English notes, Circuit Wizard simulations and results · Repo: https://github.com/Layan002/electricity-diploma</t>
        </is>
      </c>
    </row>
    <row r="4" ht="31.5" customHeight="1" s="21">
      <c r="A4" s="24" t="inlineStr">
        <is>
          <t>Course</t>
        </is>
      </c>
      <c r="B4" s="24" t="inlineStr">
        <is>
          <t>Ep #</t>
        </is>
      </c>
      <c r="C4" s="24" t="inlineStr">
        <is>
          <t>Episode Title</t>
        </is>
      </c>
      <c r="D4" s="24" t="inlineStr">
        <is>
          <t>Status</t>
        </is>
      </c>
      <c r="E4" s="24" t="inlineStr">
        <is>
          <t>Date Added</t>
        </is>
      </c>
      <c r="F4" s="24" t="inlineStr">
        <is>
          <t>README</t>
        </is>
      </c>
      <c r="G4" s="24" t="inlineStr">
        <is>
          <t>Video</t>
        </is>
      </c>
      <c r="H4" s="24" t="inlineStr">
        <is>
          <t>Concepts Covered</t>
        </is>
      </c>
      <c r="I4" s="24" t="inlineStr">
        <is>
          <t>Circuits Built</t>
        </is>
      </c>
      <c r="J4" s="24" t="inlineStr">
        <is>
          <t>Key Formulas</t>
        </is>
      </c>
      <c r="K4" s="24" t="inlineStr">
        <is>
          <t>Main Components</t>
        </is>
      </c>
      <c r="L4" s="24" t="inlineStr">
        <is>
          <t>Simulation Results (Circuit Wizard)</t>
        </is>
      </c>
      <c r="M4" s="24" t="inlineStr">
        <is>
          <t>Hardware Results (from video)</t>
        </is>
      </c>
      <c r="N4" s="24" t="inlineStr">
        <is>
          <t>Media in Folder</t>
        </is>
      </c>
      <c r="O4" s="24" t="inlineStr">
        <is>
          <t>What I Learned</t>
        </is>
      </c>
      <c r="P4" s="24" t="inlineStr">
        <is>
          <t>Notes / To-Do</t>
        </is>
      </c>
    </row>
    <row r="5" ht="30" customHeight="1" s="21">
      <c r="A5" s="25" t="inlineStr">
        <is>
          <t>Professional Electronic Design Course</t>
        </is>
      </c>
      <c r="B5" s="26" t="n">
        <v>3</v>
      </c>
      <c r="C5" s="25" t="inlineStr">
        <is>
          <t>Designing a simple circuit (closed / open) with full calculations</t>
        </is>
      </c>
      <c r="D5" s="26" t="inlineStr">
        <is>
          <t>Not started</t>
        </is>
      </c>
      <c r="E5" s="28" t="n"/>
      <c r="F5" s="40" t="n"/>
      <c r="G5" s="40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</row>
    <row r="6" ht="30" customHeight="1" s="21">
      <c r="A6" s="25" t="inlineStr">
        <is>
          <t>Professional Electronic Design Course</t>
        </is>
      </c>
      <c r="B6" s="26" t="n">
        <v>4</v>
      </c>
      <c r="C6" s="25" t="inlineStr">
        <is>
          <t>Designing a quiz board for two school teams</t>
        </is>
      </c>
      <c r="D6" s="26" t="inlineStr">
        <is>
          <t>Not started</t>
        </is>
      </c>
      <c r="E6" s="28" t="n"/>
      <c r="F6" s="40" t="n"/>
      <c r="G6" s="40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</row>
    <row r="7" ht="30" customHeight="1" s="21">
      <c r="A7" s="25" t="inlineStr">
        <is>
          <t>Professional Electronic Design Course</t>
        </is>
      </c>
      <c r="B7" s="26" t="n">
        <v>5</v>
      </c>
      <c r="C7" s="25" t="inlineStr">
        <is>
          <t>Designing a large LED display board and choosing its component values</t>
        </is>
      </c>
      <c r="D7" s="26" t="inlineStr">
        <is>
          <t>Not started</t>
        </is>
      </c>
      <c r="E7" s="28" t="n"/>
      <c r="F7" s="40" t="n"/>
      <c r="G7" s="40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</row>
    <row r="8" ht="30" customHeight="1" s="21">
      <c r="A8" s="25" t="inlineStr">
        <is>
          <t>Professional Electronic Design Course</t>
        </is>
      </c>
      <c r="B8" s="26" t="n">
        <v>6</v>
      </c>
      <c r="C8" s="25" t="inlineStr">
        <is>
          <t>Designing a relay circuit for a contest where the fastest team wins</t>
        </is>
      </c>
      <c r="D8" s="26" t="inlineStr">
        <is>
          <t>Not started</t>
        </is>
      </c>
      <c r="E8" s="28" t="n"/>
      <c r="F8" s="40" t="n"/>
      <c r="G8" s="40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</row>
    <row r="9" ht="30" customHeight="1" s="21">
      <c r="A9" s="25" t="inlineStr">
        <is>
          <t>Professional Electronic Design Course</t>
        </is>
      </c>
      <c r="B9" s="26" t="n">
        <v>7</v>
      </c>
      <c r="C9" s="25" t="inlineStr">
        <is>
          <t>Designing a fish tank circuit based on sunlight intensity, with a light cell</t>
        </is>
      </c>
      <c r="D9" s="26" t="inlineStr">
        <is>
          <t>Not started</t>
        </is>
      </c>
      <c r="E9" s="28" t="n"/>
      <c r="F9" s="40" t="n"/>
      <c r="G9" s="40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</row>
    <row r="10" ht="165" customHeight="1" s="21">
      <c r="A10" s="25" t="inlineStr">
        <is>
          <t>Professional Electronic Design Course</t>
        </is>
      </c>
      <c r="B10" s="26" t="n">
        <v>8</v>
      </c>
      <c r="C10" s="25" t="inlineStr">
        <is>
          <t>Various transistor circuits and circuit design for a light bulb factory</t>
        </is>
      </c>
      <c r="D10" s="27" t="inlineStr">
        <is>
          <t>Done</t>
        </is>
      </c>
      <c r="E10" s="28" t="n">
        <v>46311</v>
      </c>
      <c r="F10" s="29" t="inlineStr">
        <is>
          <t>Open README</t>
        </is>
      </c>
      <c r="G10" s="29" t="inlineStr">
        <is>
          <t>Watch video</t>
        </is>
      </c>
      <c r="H10" s="25" t="inlineStr">
        <is>
          <t>• Push-pull (complementary NPN/PNP) pair to steer current between two LEDs
• Current-sensing transistor: sense resistor between base and emitter
• Combining small blocks into a bigger design
• Pull-up resistor as sensitivity calibration</t>
        </is>
      </c>
      <c r="I10" s="25" t="inlineStr">
        <is>
          <t>1. Push-pull LED selector (9 V)
2. Current-sense LED indicator (12 V, 0.6 Ω)
3. Light bulb tester: red if load &gt; 1 A, green if ≤ 1 A</t>
        </is>
      </c>
      <c r="J10" s="25" t="inlineStr">
        <is>
          <t>V_BE = I_load × R_s
I_trip ≈ 0.7 V / R_s
P = I² × R
I_LED ≈ (V_s − 0.7 − V_LED) / R</t>
        </is>
      </c>
      <c r="K10" s="25" t="inlineStr">
        <is>
          <t>BC547B (NPN) ×2, 2N5401 (PNP), R_s = 0.6 Ω (sim) / 3 × 1.5 Ω ∥ = 0.5 Ω (hardware), R3 = 4.7 kΩ pull-up, 2 × 220 Ω, red + green LED, 12 V supply</t>
        </is>
      </c>
      <c r="L10" s="25" t="inlineStr">
        <is>
          <t>• Push-pull: only one LED lit at a time ✔
• Current sensor: OFF at 1.0 A, dim at 1.1 A, bright at 1.2–1.5 A ✔
• Bulb tester: green at 0 / 0.5 A ✔, red + green at 1.0–1.1 A (transition), red only at 1.2 A ✔</t>
        </is>
      </c>
      <c r="M10" s="25" t="inlineStr">
        <is>
          <t>No load 0.038 A → green ✔
Bulb 1: 1.6 A → red ✔
Bulb 2: 0.19 A → green ✔</t>
        </is>
      </c>
      <c r="N10" s="25" t="inlineStr">
        <is>
          <t>3 screenshots (.png), 3 simulation GIFs + MP4s: push-pull switching, current-sense threshold, bulb-tester sweep</t>
        </is>
      </c>
      <c r="O10" s="25" t="inlineStr">
        <is>
          <t>A resistor between base and emitter turns a transistor into a current-threshold detector; a complementary pair lets one signal choose between two loads; always check sense-resistor power.</t>
        </is>
      </c>
      <c r="P10" s="25" t="inlineStr">
        <is>
          <t>Switch point in my sim is ≈ 1.2 A (video ≈ 1.1 A): try R3 = 5.6 kΩ or R4 ≈ 0.62–0.65 Ω. Sense resistors exceed ¼ W at 1.6 A → use ½–1 W.</t>
        </is>
      </c>
    </row>
    <row r="11" ht="165" customHeight="1" s="21">
      <c r="A11" s="25" t="inlineStr">
        <is>
          <t>Professional Electronic Design Course</t>
        </is>
      </c>
      <c r="B11" s="26" t="n">
        <v>9</v>
      </c>
      <c r="C11" s="25" t="inlineStr">
        <is>
          <t>Designing a motor control switch monitoring circuit with LEDs</t>
        </is>
      </c>
      <c r="D11" s="27" t="inlineStr">
        <is>
          <t>Done</t>
        </is>
      </c>
      <c r="E11" s="28" t="n">
        <v>46316</v>
      </c>
      <c r="F11" s="20" t="inlineStr">
        <is>
          <t>Open README</t>
        </is>
      </c>
      <c r="G11" s="20" t="inlineStr">
        <is>
          <t>Watch video</t>
        </is>
      </c>
      <c r="H11" s="25" t="inlineStr">
        <is>
          <t>• A lit LED holds ≈ 2–2.4 V across itself (acts like a regulator)
• A parallel branch needing more than that voltage stays off
• Raising a branch's turn-on voltage with series diodes or a Zener
• Transistor as a short across an LED; shared vs. separate resistors</t>
        </is>
      </c>
      <c r="I11" s="25" t="inlineStr">
        <is>
          <t>1. LED voltage vs. supply experiment (5–15 V)
2. Red/green switch monitor with 3 series diodes
3. Same with a 5.1 V Zener
4. Same with an NPN transistor shorting the red LED (separate resistors)</t>
        </is>
      </c>
      <c r="J11" s="25" t="inlineStr">
        <is>
          <t>V_branch = n × 0.7 V + V_F (diodes)
V_branch = V_Z + V_F (Zener)
Branch off if V_branch &gt; V_F,green ≈ 2 V
V_green = V_s − I × R_shared</t>
        </is>
      </c>
      <c r="K11" s="25" t="inlineStr">
        <is>
          <t>12 V supply, DC motor, SPST switch, 3 × silicon diode, 1N751 5.1 V Zener, NPN transistor, 1 kΩ resistors, red + green LED</t>
        </is>
      </c>
      <c r="L11" s="25" t="inlineStr">
        <is>
          <t>• 3 diodes: open → red 2.16 V, 8.08 mA ✔; closed → green 2.31 V, red 0.94 V (off) ✔
• Zener: open → red on, Zener 5.11 V, 5.21 mA ✔; closed → green ≈ 2.45 V, Zener 4.68 V (off) ✔</t>
        </is>
      </c>
      <c r="M11" s="25" t="inlineStr">
        <is>
          <t>All three boards switch red ↔ green correctly with a lamp load. Diodes stay cool, Zener slightly warm, transistor design's resistor gets warm.</t>
        </is>
      </c>
      <c r="N11" s="25" t="inlineStr">
        <is>
          <t>3 simulation GIFs + MP4s: three-diodes switching, Zener first press, Zener toggling</t>
        </is>
      </c>
      <c r="O11" s="25" t="inlineStr">
        <is>
          <t>A lit LED clamps anything in parallel to ≈ 2 V, so making the other branch need more voltage forces it off. A transistor short works too, but each LED then needs its own resistor.</t>
        </is>
      </c>
      <c r="P11" s="25" t="inlineStr">
        <is>
          <t>Transistor design: shared 1 kΩ dropped ≈ 10.8 V, leaving ≈ 1.2–1.6 V for green (off) → fixed with separate resistors. No transistor-design sim recorded yet.</t>
        </is>
      </c>
    </row>
    <row r="12" ht="165" customHeight="1" s="21">
      <c r="A12" s="25" t="inlineStr">
        <is>
          <t>Professional Electronic Design Course</t>
        </is>
      </c>
      <c r="B12" s="26" t="n">
        <v>10</v>
      </c>
      <c r="C12" s="25" t="inlineStr">
        <is>
          <t>Designing a battery charge status monitoring circuit</t>
        </is>
      </c>
      <c r="D12" s="27" t="inlineStr">
        <is>
          <t>Done</t>
        </is>
      </c>
      <c r="E12" s="28" t="n">
        <v>46319</v>
      </c>
      <c r="F12" s="20" t="inlineStr">
        <is>
          <t>Open README</t>
        </is>
      </c>
      <c r="G12" s="20" t="inlineStr">
        <is>
          <t>Watch video</t>
        </is>
      </c>
      <c r="H12" s="25" t="inlineStr">
        <is>
          <t>• Saturated transistor pulls its collector to ≈ 0 V (12 V / 0 V output)
• Inverting transistor pair: Q1 on → Q2 off, Q1 off → Q2 on
• Zener in the base path as a voltage-level detector
• Designing resistor values from β_min, saturation factor and I_Z,min</t>
        </is>
      </c>
      <c r="I12" s="25" t="inlineStr">
        <is>
          <t>1. Transistor switch with 10 kΩ collector load (12 V / 0 V demo)
2. Inverting pair with green/red LEDs driven by a push switch
3. Battery monitor: 10 V Zener replaces the switch (green ≥ 10 V, red &lt; 10 V)</t>
        </is>
      </c>
      <c r="J12" s="25" t="inlineStr">
        <is>
          <t>I_B = I_C / β_min = 10 mA / 200 = 50 µA
I_B1 = 10 × 50 µA = 0.5 mA
11 − V_Z − I_B1·R_B1 − 0.7 = 0 → R_B1 ≈ 600 Ω
10 − 0.7 = I_B2(1 kΩ + R_B2), I_B2 = 200 µA → R_B2 ≈ 46 kΩ</t>
        </is>
      </c>
      <c r="K12" s="25" t="inlineStr">
        <is>
          <t>2 × BC547B (β 200–450), BZX85C10 Zener (9.4–10.6 V), R_B1 = 677 Ω (600 Ω calc, 10 kΩ also works), R_B2 = 46 kΩ, 2 × 1 kΩ, red + green LED, 12 V battery</t>
        </is>
      </c>
      <c r="L12" s="25" t="inlineStr">
        <is>
          <t>• R_B1 = 10 kΩ: 11 V → green, I_B1 = 52 µA, V_CE(Q1) = 101 mV ✔; 10 V → red 2.12 V, Zener 9.56 V at 0 A ✔; 8 V → red ✔
• R_B1 = 677 Ω: 11 V → green, I_B1 = 638 µA, V_CE(Q1) = 24 mV ✔; 10 V → red ✔; 5 V → red dim
• ≤ 3 V → neither LED lights</t>
        </is>
      </c>
      <c r="M12" s="25" t="inlineStr">
        <is>
          <t>12 V, 11 V → green ✔; ≤ 10 V → red ✔; switch point ≈ 10.5 V (red starts glowing ≈ 10.6 V). With R_B1 = 10 kΩ still switches between 10 V and 11 V, lower battery drain.</t>
        </is>
      </c>
      <c r="N12" s="25" t="inlineStr">
        <is>
          <t>1 simulation GIF + MP4: battery voltage sweep (10 kΩ vs 677 Ω)</t>
        </is>
      </c>
      <c r="O12" s="25" t="inlineStr">
        <is>
          <t>Adding one Zener to an inverting transistor pair turns it into a voltage monitor; swap the Zener for an LDR or thermistor and it becomes a light or temperature indicator. Calculated values are a starting point, then adjust by testing.</t>
        </is>
      </c>
      <c r="P12" s="25" t="inlineStr">
        <is>
          <t>Sim used 1N4740 (10 V) instead of BZX85C10. To do: 0.1 V sweep between 10 and 11 V to find my switch point (video ≈ 10.5 V); try an LDR version (light/dark indicator).</t>
        </is>
      </c>
    </row>
    <row r="13" ht="30" customHeight="1" s="21">
      <c r="A13" s="25" t="inlineStr">
        <is>
          <t>Professional Electronic Design Course</t>
        </is>
      </c>
      <c r="B13" s="26" t="n">
        <v>11</v>
      </c>
      <c r="C13" s="25" t="inlineStr">
        <is>
          <t>Designing a car-factory panel to control the cooling fan</t>
        </is>
      </c>
      <c r="D13" s="26" t="inlineStr">
        <is>
          <t>Not started</t>
        </is>
      </c>
      <c r="E13" s="28" t="n"/>
      <c r="F13" s="40" t="n"/>
      <c r="G13" s="40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</row>
    <row r="14" ht="30" customHeight="1" s="21">
      <c r="A14" s="25" t="inlineStr">
        <is>
          <t>Professional Electronic Design Course</t>
        </is>
      </c>
      <c r="B14" s="26" t="n">
        <v>12</v>
      </c>
      <c r="C14" s="25" t="inlineStr">
        <is>
          <t>Designing a car-factory circuit for testing fans</t>
        </is>
      </c>
      <c r="D14" s="26" t="inlineStr">
        <is>
          <t>Not started</t>
        </is>
      </c>
      <c r="E14" s="28" t="n"/>
      <c r="F14" s="40" t="n"/>
      <c r="G14" s="40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</row>
    <row r="15" ht="30" customHeight="1" s="21">
      <c r="A15" s="25" t="inlineStr">
        <is>
          <t>Professional Electronic Design Course</t>
        </is>
      </c>
      <c r="B15" s="26" t="n">
        <v>13</v>
      </c>
      <c r="C15" s="25" t="inlineStr">
        <is>
          <t>Designing a useless machine motor circuit</t>
        </is>
      </c>
      <c r="D15" s="26" t="inlineStr">
        <is>
          <t>Not started</t>
        </is>
      </c>
      <c r="E15" s="28" t="n"/>
      <c r="F15" s="40" t="n"/>
      <c r="G15" s="40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</row>
    <row r="16" ht="30" customHeight="1" s="21">
      <c r="A16" s="25" t="inlineStr">
        <is>
          <t>Professional Electronic Design Course</t>
        </is>
      </c>
      <c r="B16" s="26" t="n">
        <v>14</v>
      </c>
      <c r="C16" s="25" t="inlineStr">
        <is>
          <t>Designing a secret-code circuit without programming</t>
        </is>
      </c>
      <c r="D16" s="26" t="inlineStr">
        <is>
          <t>Not started</t>
        </is>
      </c>
      <c r="E16" s="28" t="n"/>
      <c r="F16" s="40" t="n"/>
      <c r="G16" s="40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</row>
    <row r="17" ht="30" customHeight="1" s="21">
      <c r="A17" s="25" t="inlineStr">
        <is>
          <t>Professional Electronic Design Course</t>
        </is>
      </c>
      <c r="B17" s="26" t="n">
        <v>15</v>
      </c>
      <c r="C17" s="25" t="inlineStr">
        <is>
          <t>Designing an interactive smart board for schools without programming</t>
        </is>
      </c>
      <c r="D17" s="26" t="inlineStr">
        <is>
          <t>Not started</t>
        </is>
      </c>
      <c r="E17" s="28" t="n"/>
      <c r="F17" s="40" t="n"/>
      <c r="G17" s="40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</row>
    <row r="18" ht="30" customHeight="1" s="21">
      <c r="A18" s="25" t="inlineStr">
        <is>
          <t>Professional Electronic Design Course</t>
        </is>
      </c>
      <c r="B18" s="26" t="n">
        <v>16</v>
      </c>
      <c r="C18" s="25" t="inlineStr">
        <is>
          <t>Designing a joystick circuit that controls a motor for a toy factory</t>
        </is>
      </c>
      <c r="D18" s="26" t="inlineStr">
        <is>
          <t>Not started</t>
        </is>
      </c>
      <c r="E18" s="28" t="n"/>
      <c r="F18" s="40" t="n"/>
      <c r="G18" s="40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</row>
    <row r="19" ht="30" customHeight="1" s="21">
      <c r="A19" s="25" t="inlineStr">
        <is>
          <t>Professional Electronic Design Course</t>
        </is>
      </c>
      <c r="B19" s="26" t="n">
        <v>17</v>
      </c>
      <c r="C19" s="25" t="inlineStr">
        <is>
          <t>Designing a one-press electric drill circuit with a relay</t>
        </is>
      </c>
      <c r="D19" s="26" t="inlineStr">
        <is>
          <t>Not started</t>
        </is>
      </c>
      <c r="E19" s="28" t="n"/>
      <c r="F19" s="40" t="n"/>
      <c r="G19" s="40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</row>
    <row r="20" ht="30" customHeight="1" s="21">
      <c r="A20" s="25" t="inlineStr">
        <is>
          <t>Professional Electronic Design Course</t>
        </is>
      </c>
      <c r="B20" s="26" t="n">
        <v>18</v>
      </c>
      <c r="C20" s="25" t="inlineStr">
        <is>
          <t>Designing a transistor latch circuit with a delay that avoids many problems</t>
        </is>
      </c>
      <c r="D20" s="26" t="inlineStr">
        <is>
          <t>Not started</t>
        </is>
      </c>
      <c r="E20" s="28" t="n"/>
      <c r="F20" s="40" t="n"/>
      <c r="G20" s="40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</row>
    <row r="21" ht="30" customHeight="1" s="21">
      <c r="A21" s="25" t="inlineStr">
        <is>
          <t>Professional Electronic Design Course</t>
        </is>
      </c>
      <c r="B21" s="26" t="n">
        <v>19</v>
      </c>
      <c r="C21" s="25" t="inlineStr">
        <is>
          <t>Designing a smart circuit for a mailbox in front of the house</t>
        </is>
      </c>
      <c r="D21" s="26" t="inlineStr">
        <is>
          <t>Not started</t>
        </is>
      </c>
      <c r="E21" s="28" t="n"/>
      <c r="F21" s="40" t="n"/>
      <c r="G21" s="40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</row>
    <row r="22" ht="30" customHeight="1" s="21">
      <c r="A22" s="25" t="inlineStr">
        <is>
          <t>Professional Electronic Design Course</t>
        </is>
      </c>
      <c r="B22" s="26" t="n">
        <v>20</v>
      </c>
      <c r="C22" s="25" t="inlineStr">
        <is>
          <t>Designing a one-press circuit: problems and solutions</t>
        </is>
      </c>
      <c r="D22" s="26" t="inlineStr">
        <is>
          <t>Not started</t>
        </is>
      </c>
      <c r="E22" s="28" t="n"/>
      <c r="F22" s="40" t="n"/>
      <c r="G22" s="40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</row>
    <row r="23" ht="30" customHeight="1" s="21">
      <c r="A23" s="25" t="inlineStr">
        <is>
          <t>Professional Electronic Design Course</t>
        </is>
      </c>
      <c r="B23" s="26" t="n">
        <v>21</v>
      </c>
      <c r="C23" s="25" t="inlineStr">
        <is>
          <t>Analysing three transistor circuits to learn from them</t>
        </is>
      </c>
      <c r="D23" s="26" t="inlineStr">
        <is>
          <t>Not started</t>
        </is>
      </c>
      <c r="E23" s="28" t="n"/>
      <c r="F23" s="40" t="n"/>
      <c r="G23" s="40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</row>
    <row r="24" ht="30" customHeight="1" s="21">
      <c r="A24" s="25" t="inlineStr">
        <is>
          <t>Professional Electronic Design Course</t>
        </is>
      </c>
      <c r="B24" s="26" t="n">
        <v>22</v>
      </c>
      <c r="C24" s="25" t="inlineStr">
        <is>
          <t>The flip-flop capacitor as an oscillator, and designing a status indicator</t>
        </is>
      </c>
      <c r="D24" s="26" t="inlineStr">
        <is>
          <t>Not started</t>
        </is>
      </c>
      <c r="E24" s="28" t="n"/>
      <c r="F24" s="40" t="n"/>
      <c r="G24" s="40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</row>
    <row r="25" ht="30" customHeight="1" s="21">
      <c r="A25" s="25" t="inlineStr">
        <is>
          <t>Professional Electronic Design Course</t>
        </is>
      </c>
      <c r="B25" s="26" t="n">
        <v>23</v>
      </c>
      <c r="C25" s="25" t="inlineStr">
        <is>
          <t>Designing a random-selection circuit using the oscillator</t>
        </is>
      </c>
      <c r="D25" s="26" t="inlineStr">
        <is>
          <t>Not started</t>
        </is>
      </c>
      <c r="E25" s="28" t="n"/>
      <c r="F25" s="40" t="n"/>
      <c r="G25" s="40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</row>
    <row r="26" ht="30" customHeight="1" s="21">
      <c r="A26" s="25" t="inlineStr">
        <is>
          <t>Professional Electronic Design Course</t>
        </is>
      </c>
      <c r="B26" s="26" t="n">
        <v>24</v>
      </c>
      <c r="C26" s="25" t="inlineStr">
        <is>
          <t>Designing a boost circuit for an efficient torch with a small battery</t>
        </is>
      </c>
      <c r="D26" s="26" t="inlineStr">
        <is>
          <t>Not started</t>
        </is>
      </c>
      <c r="E26" s="28" t="n"/>
      <c r="F26" s="40" t="n"/>
      <c r="G26" s="40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</row>
    <row r="27" ht="30" customHeight="1" s="21">
      <c r="A27" s="25" t="inlineStr">
        <is>
          <t>Professional Electronic Design Course</t>
        </is>
      </c>
      <c r="B27" s="26" t="n">
        <v>25</v>
      </c>
      <c r="C27" s="25" t="inlineStr">
        <is>
          <t>Designing a sequential oscillator circuit for decorative lights</t>
        </is>
      </c>
      <c r="D27" s="26" t="inlineStr">
        <is>
          <t>Not started</t>
        </is>
      </c>
      <c r="E27" s="28" t="n"/>
      <c r="F27" s="40" t="n"/>
      <c r="G27" s="40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</row>
    <row r="28" ht="30" customHeight="1" s="21">
      <c r="A28" s="25" t="inlineStr">
        <is>
          <t>Professional Electronic Design Course</t>
        </is>
      </c>
      <c r="B28" s="26" t="n">
        <v>26</v>
      </c>
      <c r="C28" s="25" t="inlineStr">
        <is>
          <t>Introduction to Level 3 and its work plan</t>
        </is>
      </c>
      <c r="D28" s="26" t="inlineStr">
        <is>
          <t>Not started</t>
        </is>
      </c>
      <c r="E28" s="28" t="n"/>
      <c r="F28" s="40" t="n"/>
      <c r="G28" s="40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</row>
    <row r="29" ht="30" customHeight="1" s="21">
      <c r="A29" s="25" t="inlineStr">
        <is>
          <t>Professional Electronic Design Course</t>
        </is>
      </c>
      <c r="B29" s="26" t="n">
        <v>27</v>
      </c>
      <c r="C29" s="25" t="inlineStr">
        <is>
          <t>The emitter follower and its special circuits</t>
        </is>
      </c>
      <c r="D29" s="26" t="inlineStr">
        <is>
          <t>Not started</t>
        </is>
      </c>
      <c r="E29" s="28" t="n"/>
      <c r="F29" s="40" t="n"/>
      <c r="G29" s="40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</row>
    <row r="30" ht="30" customHeight="1" s="21">
      <c r="A30" s="25" t="inlineStr">
        <is>
          <t>Professional Electronic Design Course</t>
        </is>
      </c>
      <c r="B30" s="26" t="n">
        <v>28</v>
      </c>
      <c r="C30" s="25" t="inlineStr">
        <is>
          <t>Designs for a conventional power supply with current limiters</t>
        </is>
      </c>
      <c r="D30" s="26" t="inlineStr">
        <is>
          <t>Not started</t>
        </is>
      </c>
      <c r="E30" s="28" t="n"/>
      <c r="F30" s="40" t="n"/>
      <c r="G30" s="40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</row>
    <row r="31" ht="30" customHeight="1" s="21">
      <c r="A31" s="25" t="inlineStr">
        <is>
          <t>Professional Electronic Design Course</t>
        </is>
      </c>
      <c r="B31" s="26" t="n">
        <v>29</v>
      </c>
      <c r="C31" s="25" t="inlineStr">
        <is>
          <t>Unusual uses of the transistor</t>
        </is>
      </c>
      <c r="D31" s="26" t="inlineStr">
        <is>
          <t>Not started</t>
        </is>
      </c>
      <c r="E31" s="28" t="n"/>
      <c r="F31" s="40" t="n"/>
      <c r="G31" s="40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</row>
    <row r="32" ht="30" customHeight="1" s="21">
      <c r="A32" s="25" t="inlineStr">
        <is>
          <t>Professional Electronic Design Course</t>
        </is>
      </c>
      <c r="B32" s="26" t="n">
        <v>30</v>
      </c>
      <c r="C32" s="25" t="inlineStr">
        <is>
          <t>Window (range) circuits and designing heater and temperature control circuits</t>
        </is>
      </c>
      <c r="D32" s="26" t="inlineStr">
        <is>
          <t>Not started</t>
        </is>
      </c>
      <c r="E32" s="28" t="n"/>
      <c r="F32" s="40" t="n"/>
      <c r="G32" s="40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</row>
    <row r="33" ht="30" customHeight="1" s="21">
      <c r="A33" s="25" t="inlineStr">
        <is>
          <t>Professional Electronic Design Course</t>
        </is>
      </c>
      <c r="B33" s="26" t="n">
        <v>31</v>
      </c>
      <c r="C33" s="25" t="inlineStr">
        <is>
          <t>Short pulse generator: why?</t>
        </is>
      </c>
      <c r="D33" s="26" t="inlineStr">
        <is>
          <t>Not started</t>
        </is>
      </c>
      <c r="E33" s="28" t="n"/>
      <c r="F33" s="40" t="n"/>
      <c r="G33" s="40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</row>
    <row r="34" ht="30" customHeight="1" s="21">
      <c r="A34" s="25" t="inlineStr">
        <is>
          <t>Professional Electronic Design Course</t>
        </is>
      </c>
      <c r="B34" s="26" t="n">
        <v>32</v>
      </c>
      <c r="C34" s="25" t="inlineStr">
        <is>
          <t>Running on a constant current (constant current source)</t>
        </is>
      </c>
      <c r="D34" s="26" t="inlineStr">
        <is>
          <t>Not started</t>
        </is>
      </c>
      <c r="E34" s="28" t="n"/>
      <c r="F34" s="40" t="n"/>
      <c r="G34" s="40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</row>
    <row r="35" ht="30" customHeight="1" s="21">
      <c r="A35" s="25" t="inlineStr">
        <is>
          <t>Professional Electronic Design Course</t>
        </is>
      </c>
      <c r="B35" s="26" t="n">
        <v>33</v>
      </c>
      <c r="C35" s="25" t="inlineStr">
        <is>
          <t>Designing current mirrors and circuits without resistors</t>
        </is>
      </c>
      <c r="D35" s="26" t="inlineStr">
        <is>
          <t>Not started</t>
        </is>
      </c>
      <c r="E35" s="28" t="n"/>
      <c r="F35" s="40" t="n"/>
      <c r="G35" s="40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</row>
    <row r="36" ht="30" customHeight="1" s="21">
      <c r="A36" s="25" t="inlineStr">
        <is>
          <t>Professional Electronic Design Course</t>
        </is>
      </c>
      <c r="B36" s="26" t="n">
        <v>34</v>
      </c>
      <c r="C36" s="25" t="inlineStr">
        <is>
          <t>The differential amplifier and why it is so popular</t>
        </is>
      </c>
      <c r="D36" s="26" t="inlineStr">
        <is>
          <t>Not started</t>
        </is>
      </c>
      <c r="E36" s="28" t="n"/>
      <c r="F36" s="40" t="n"/>
      <c r="G36" s="40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</row>
    <row r="37" ht="30" customHeight="1" s="21">
      <c r="A37" s="25" t="inlineStr">
        <is>
          <t>Professional Electronic Design Course</t>
        </is>
      </c>
      <c r="B37" s="26" t="n">
        <v>35</v>
      </c>
      <c r="C37" s="25" t="inlineStr">
        <is>
          <t>Advanced amplifier topics (bootstrap, Miller effect, cascode)</t>
        </is>
      </c>
      <c r="D37" s="26" t="inlineStr">
        <is>
          <t>Not started</t>
        </is>
      </c>
      <c r="E37" s="28" t="n"/>
      <c r="F37" s="40" t="n"/>
      <c r="G37" s="40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</row>
    <row r="38" ht="30" customHeight="1" s="21">
      <c r="A38" s="25" t="inlineStr">
        <is>
          <t>Professional Electronic Design Course</t>
        </is>
      </c>
      <c r="B38" s="26" t="n">
        <v>36</v>
      </c>
      <c r="C38" s="25" t="inlineStr">
        <is>
          <t>Oscillators (Hartley, Colpitts, crystal) with a practical experiment</t>
        </is>
      </c>
      <c r="D38" s="26" t="inlineStr">
        <is>
          <t>Not started</t>
        </is>
      </c>
      <c r="E38" s="28" t="n"/>
      <c r="F38" s="40" t="n"/>
      <c r="G38" s="40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</row>
    <row r="39" ht="30" customHeight="1" s="21">
      <c r="A39" s="25" t="inlineStr">
        <is>
          <t>Professional Electronic Design Course</t>
        </is>
      </c>
      <c r="B39" s="26" t="n">
        <v>37</v>
      </c>
      <c r="C39" s="25" t="inlineStr">
        <is>
          <t>Sending a wireless signal remotely (the simplest circuit)</t>
        </is>
      </c>
      <c r="D39" s="26" t="inlineStr">
        <is>
          <t>Not started</t>
        </is>
      </c>
      <c r="E39" s="28" t="n"/>
      <c r="F39" s="40" t="n"/>
      <c r="G39" s="40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</row>
    <row r="40" ht="30" customHeight="1" s="21">
      <c r="A40" s="25" t="inlineStr">
        <is>
          <t>Professional Electronic Design Course</t>
        </is>
      </c>
      <c r="B40" s="26" t="n">
        <v>38</v>
      </c>
      <c r="C40" s="25" t="inlineStr">
        <is>
          <t>What's inside the 555 timer</t>
        </is>
      </c>
      <c r="D40" s="26" t="inlineStr">
        <is>
          <t>Not started</t>
        </is>
      </c>
      <c r="E40" s="28" t="n"/>
      <c r="F40" s="40" t="n"/>
      <c r="G40" s="40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</row>
    <row r="41" ht="30" customHeight="1" s="21">
      <c r="A41" s="25" t="inlineStr">
        <is>
          <t>Professional Electronic Design Course</t>
        </is>
      </c>
      <c r="B41" s="26" t="n">
        <v>39</v>
      </c>
      <c r="C41" s="25" t="inlineStr">
        <is>
          <t>A broader understanding of the 555 timer, with an interactive circuit design</t>
        </is>
      </c>
      <c r="D41" s="26" t="inlineStr">
        <is>
          <t>Not started</t>
        </is>
      </c>
      <c r="E41" s="28" t="n"/>
      <c r="F41" s="40" t="n"/>
      <c r="G41" s="40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</row>
    <row r="42" ht="30" customHeight="1" s="21">
      <c r="A42" s="25" t="inlineStr">
        <is>
          <t>Professional Electronic Design Course</t>
        </is>
      </c>
      <c r="B42" s="26" t="n">
        <v>40</v>
      </c>
      <c r="C42" s="25" t="inlineStr">
        <is>
          <t>Marketable 555 timer applications</t>
        </is>
      </c>
      <c r="D42" s="26" t="inlineStr">
        <is>
          <t>Not started</t>
        </is>
      </c>
      <c r="E42" s="28" t="n"/>
      <c r="F42" s="40" t="n"/>
      <c r="G42" s="40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</row>
    <row r="43" ht="30" customHeight="1" s="21">
      <c r="A43" s="25" t="inlineStr">
        <is>
          <t>Professional Electronic Design Course</t>
        </is>
      </c>
      <c r="B43" s="26" t="n">
        <v>41</v>
      </c>
      <c r="C43" s="25" t="inlineStr">
        <is>
          <t>Designing a sequential-function circuit for a factory with the 555</t>
        </is>
      </c>
      <c r="D43" s="26" t="inlineStr">
        <is>
          <t>Not started</t>
        </is>
      </c>
      <c r="E43" s="28" t="n"/>
      <c r="F43" s="40" t="n"/>
      <c r="G43" s="40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</row>
    <row r="44" ht="30" customHeight="1" s="21">
      <c r="A44" s="25" t="inlineStr">
        <is>
          <t>Professional Electronic Design Course</t>
        </is>
      </c>
      <c r="B44" s="26" t="n">
        <v>42</v>
      </c>
      <c r="C44" s="25" t="inlineStr">
        <is>
          <t>Designing a driver-assist circuit for a car factory</t>
        </is>
      </c>
      <c r="D44" s="26" t="inlineStr">
        <is>
          <t>Not started</t>
        </is>
      </c>
      <c r="E44" s="28" t="n"/>
      <c r="F44" s="40" t="n"/>
      <c r="G44" s="40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</row>
    <row r="45" ht="30" customHeight="1" s="21">
      <c r="A45" s="25" t="inlineStr">
        <is>
          <t>Professional Electronic Design Course</t>
        </is>
      </c>
      <c r="B45" s="26" t="n">
        <v>43</v>
      </c>
      <c r="C45" s="25" t="inlineStr">
        <is>
          <t>How to make use of the CD4017</t>
        </is>
      </c>
      <c r="D45" s="26" t="inlineStr">
        <is>
          <t>Not started</t>
        </is>
      </c>
      <c r="E45" s="28" t="n"/>
      <c r="F45" s="40" t="n"/>
      <c r="G45" s="40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</row>
    <row r="46" ht="30" customHeight="1" s="21">
      <c r="A46" s="25" t="inlineStr">
        <is>
          <t>Professional Electronic Design Course</t>
        </is>
      </c>
      <c r="B46" s="26" t="n">
        <v>44</v>
      </c>
      <c r="C46" s="25" t="inlineStr">
        <is>
          <t>Designing a multi-timer circuit that splits time between different tasks</t>
        </is>
      </c>
      <c r="D46" s="26" t="inlineStr">
        <is>
          <t>Not started</t>
        </is>
      </c>
      <c r="E46" s="28" t="n"/>
      <c r="F46" s="40" t="n"/>
      <c r="G46" s="40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</row>
    <row r="47" ht="30" customHeight="1" s="21">
      <c r="A47" s="25" t="inlineStr">
        <is>
          <t>Professional Electronic Design Course</t>
        </is>
      </c>
      <c r="B47" s="26" t="n">
        <v>45</v>
      </c>
      <c r="C47" s="25" t="inlineStr">
        <is>
          <t>The queen of sequential events, and designing a circuit for a food factory</t>
        </is>
      </c>
      <c r="D47" s="26" t="inlineStr">
        <is>
          <t>Not started</t>
        </is>
      </c>
      <c r="E47" s="28" t="n"/>
      <c r="F47" s="40" t="n"/>
      <c r="G47" s="40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</row>
    <row r="48" ht="30" customHeight="1" s="21">
      <c r="A48" s="25" t="inlineStr">
        <is>
          <t>Professional Electronic Design Course</t>
        </is>
      </c>
      <c r="B48" s="26" t="n">
        <v>46</v>
      </c>
      <c r="C48" s="25" t="inlineStr">
        <is>
          <t>Designing an efficient traffic light circuit without programming</t>
        </is>
      </c>
      <c r="D48" s="26" t="inlineStr">
        <is>
          <t>Not started</t>
        </is>
      </c>
      <c r="E48" s="28" t="n"/>
      <c r="F48" s="40" t="n"/>
      <c r="G48" s="40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</row>
    <row r="49" ht="30" customHeight="1" s="21">
      <c r="A49" s="25" t="inlineStr">
        <is>
          <t>Professional Electronic Design Course</t>
        </is>
      </c>
      <c r="B49" s="26" t="n">
        <v>47</v>
      </c>
      <c r="C49" s="25" t="inlineStr">
        <is>
          <t>Designing an interactive clap switch to turn a device on and off</t>
        </is>
      </c>
      <c r="D49" s="26" t="inlineStr">
        <is>
          <t>Not started</t>
        </is>
      </c>
      <c r="E49" s="28" t="n"/>
      <c r="F49" s="40" t="n"/>
      <c r="G49" s="40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</row>
    <row r="50" ht="30" customHeight="1" s="21">
      <c r="A50" s="25" t="inlineStr">
        <is>
          <t>Professional Electronic Design Course</t>
        </is>
      </c>
      <c r="B50" s="26" t="n">
        <v>48</v>
      </c>
      <c r="C50" s="25" t="inlineStr">
        <is>
          <t>Designing an interactive circuit to control light brightness with a single switch</t>
        </is>
      </c>
      <c r="D50" s="26" t="inlineStr">
        <is>
          <t>Not started</t>
        </is>
      </c>
      <c r="E50" s="28" t="n"/>
      <c r="F50" s="40" t="n"/>
      <c r="G50" s="40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</row>
    <row r="51" ht="30" customHeight="1" s="21">
      <c r="A51" s="25" t="inlineStr">
        <is>
          <t>Professional Electronic Design Course</t>
        </is>
      </c>
      <c r="B51" s="26" t="n">
        <v>49</v>
      </c>
      <c r="C51" s="25" t="inlineStr">
        <is>
          <t>Designing a simple electronic lock circuit without programming</t>
        </is>
      </c>
      <c r="D51" s="26" t="inlineStr">
        <is>
          <t>Not started</t>
        </is>
      </c>
      <c r="E51" s="28" t="n"/>
      <c r="F51" s="40" t="n"/>
      <c r="G51" s="40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</row>
    <row r="52" ht="30" customHeight="1" s="21">
      <c r="A52" s="25" t="inlineStr">
        <is>
          <t>Professional Electronic Design Course</t>
        </is>
      </c>
      <c r="B52" s="26" t="n">
        <v>50</v>
      </c>
      <c r="C52" s="25" t="inlineStr">
        <is>
          <t>Designing a circuit to control several devices remotely</t>
        </is>
      </c>
      <c r="D52" s="26" t="inlineStr">
        <is>
          <t>Not started</t>
        </is>
      </c>
      <c r="E52" s="28" t="n"/>
      <c r="F52" s="40" t="n"/>
      <c r="G52" s="40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</row>
    <row r="53" ht="30" customHeight="1" s="21">
      <c r="A53" s="25" t="inlineStr">
        <is>
          <t>Professional Electronic Design Course</t>
        </is>
      </c>
      <c r="B53" s="26" t="n">
        <v>51</v>
      </c>
      <c r="C53" s="25" t="inlineStr">
        <is>
          <t>Explaining various circuits that use the simplest components for many tasks</t>
        </is>
      </c>
      <c r="D53" s="26" t="inlineStr">
        <is>
          <t>Not started</t>
        </is>
      </c>
      <c r="E53" s="28" t="n"/>
      <c r="F53" s="40" t="n"/>
      <c r="G53" s="40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</row>
    <row r="54" ht="30" customHeight="1" s="21">
      <c r="A54" s="25" t="inlineStr">
        <is>
          <t>Professional Electronic Design Course</t>
        </is>
      </c>
      <c r="B54" s="26" t="n">
        <v>52</v>
      </c>
      <c r="C54" s="25" t="inlineStr">
        <is>
          <t>Introduction to Level 5: the purpose of these circuits and block-diagram design</t>
        </is>
      </c>
      <c r="D54" s="26" t="inlineStr">
        <is>
          <t>Not started</t>
        </is>
      </c>
      <c r="E54" s="28" t="n"/>
      <c r="F54" s="40" t="n"/>
      <c r="G54" s="40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</row>
    <row r="55" ht="30" customHeight="1" s="21">
      <c r="A55" s="25" t="inlineStr">
        <is>
          <t>Professional Electronic Design Course</t>
        </is>
      </c>
      <c r="B55" s="26" t="n">
        <v>53</v>
      </c>
      <c r="C55" s="25" t="inlineStr">
        <is>
          <t>Information sources used by professionals, and getting schematics</t>
        </is>
      </c>
      <c r="D55" s="26" t="inlineStr">
        <is>
          <t>Not started</t>
        </is>
      </c>
      <c r="E55" s="28" t="n"/>
      <c r="F55" s="40" t="n"/>
      <c r="G55" s="40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</row>
    <row r="56" ht="30" customHeight="1" s="21">
      <c r="A56" s="25" t="inlineStr">
        <is>
          <t>Professional Electronic Design Course</t>
        </is>
      </c>
      <c r="B56" s="26" t="n">
        <v>54</v>
      </c>
      <c r="C56" s="25" t="inlineStr">
        <is>
          <t>Information sources and how to choose ICs for specific functions</t>
        </is>
      </c>
      <c r="D56" s="26" t="inlineStr">
        <is>
          <t>Not started</t>
        </is>
      </c>
      <c r="E56" s="28" t="n"/>
      <c r="F56" s="40" t="n"/>
      <c r="G56" s="40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</row>
    <row r="57" ht="30" customHeight="1" s="21">
      <c r="A57" s="25" t="inlineStr">
        <is>
          <t>Professional Electronic Design Course</t>
        </is>
      </c>
      <c r="B57" s="26" t="n">
        <v>55</v>
      </c>
      <c r="C57" s="25" t="inlineStr">
        <is>
          <t>Information from other varied sources</t>
        </is>
      </c>
      <c r="D57" s="26" t="inlineStr">
        <is>
          <t>Not started</t>
        </is>
      </c>
      <c r="E57" s="28" t="n"/>
      <c r="F57" s="40" t="n"/>
      <c r="G57" s="40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</row>
    <row r="58" ht="30" customHeight="1" s="21">
      <c r="A58" s="25" t="inlineStr">
        <is>
          <t>Professional Electronic Design Course</t>
        </is>
      </c>
      <c r="B58" s="26" t="n">
        <v>56</v>
      </c>
      <c r="C58" s="25" t="inlineStr">
        <is>
          <t>Designing a lithium battery charger circuit with dedicated ICs</t>
        </is>
      </c>
      <c r="D58" s="26" t="inlineStr">
        <is>
          <t>Not started</t>
        </is>
      </c>
      <c r="E58" s="28" t="n"/>
      <c r="F58" s="40" t="n"/>
      <c r="G58" s="40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</row>
    <row r="59" ht="30" customHeight="1" s="21">
      <c r="A59" s="25" t="inlineStr">
        <is>
          <t>Professional Electronic Design Course</t>
        </is>
      </c>
      <c r="B59" s="26" t="n">
        <v>57</v>
      </c>
      <c r="C59" s="25" t="inlineStr">
        <is>
          <t>Developing a professional, competitive high-voltage probe</t>
        </is>
      </c>
      <c r="D59" s="26" t="inlineStr">
        <is>
          <t>Not started</t>
        </is>
      </c>
      <c r="E59" s="28" t="n"/>
      <c r="F59" s="40" t="n"/>
      <c r="G59" s="40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</row>
    <row r="60" ht="30" customHeight="1" s="21">
      <c r="A60" s="25" t="inlineStr">
        <is>
          <t>Professional Electronic Design Course</t>
        </is>
      </c>
      <c r="B60" s="26" t="n">
        <v>58</v>
      </c>
      <c r="C60" s="25" t="inlineStr">
        <is>
          <t>Developing a cheap, competitive light-intensity sensor</t>
        </is>
      </c>
      <c r="D60" s="26" t="inlineStr">
        <is>
          <t>Not started</t>
        </is>
      </c>
      <c r="E60" s="28" t="n"/>
      <c r="F60" s="40" t="n"/>
      <c r="G60" s="40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</row>
    <row r="61" ht="30" customHeight="1" s="21">
      <c r="A61" s="25" t="inlineStr">
        <is>
          <t>Professional Electronic Design Course</t>
        </is>
      </c>
      <c r="B61" s="26" t="n">
        <v>59</v>
      </c>
      <c r="C61" s="25" t="inlineStr">
        <is>
          <t>Analysing a market circuit: induction heating</t>
        </is>
      </c>
      <c r="D61" s="26" t="inlineStr">
        <is>
          <t>Not started</t>
        </is>
      </c>
      <c r="E61" s="28" t="n"/>
      <c r="F61" s="40" t="n"/>
      <c r="G61" s="40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</row>
    <row r="62" ht="30" customHeight="1" s="21">
      <c r="A62" s="25" t="inlineStr">
        <is>
          <t>Professional Electronic Design Course</t>
        </is>
      </c>
      <c r="B62" s="26" t="n">
        <v>60</v>
      </c>
      <c r="C62" s="25" t="inlineStr">
        <is>
          <t>Analysing a market circuit: high-frequency inverter</t>
        </is>
      </c>
      <c r="D62" s="26" t="inlineStr">
        <is>
          <t>Not started</t>
        </is>
      </c>
      <c r="E62" s="28" t="n"/>
      <c r="F62" s="40" t="n"/>
      <c r="G62" s="40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</row>
    <row r="63" ht="30" customHeight="1" s="21">
      <c r="A63" s="25" t="inlineStr">
        <is>
          <t>Professional Electronic Design Course</t>
        </is>
      </c>
      <c r="B63" s="26" t="n">
        <v>61</v>
      </c>
      <c r="C63" s="25" t="inlineStr">
        <is>
          <t>Analysing a market circuit: car inverter from the cigarette-lighter socket</t>
        </is>
      </c>
      <c r="D63" s="26" t="inlineStr">
        <is>
          <t>Not started</t>
        </is>
      </c>
      <c r="E63" s="28" t="n"/>
      <c r="F63" s="40" t="n"/>
      <c r="G63" s="40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</row>
    <row r="64" ht="30" customHeight="1" s="21">
      <c r="A64" s="25" t="inlineStr">
        <is>
          <t>Professional Electronic Design Course</t>
        </is>
      </c>
      <c r="B64" s="26" t="n">
        <v>62</v>
      </c>
      <c r="C64" s="25" t="inlineStr">
        <is>
          <t>Types of power converters</t>
        </is>
      </c>
      <c r="D64" s="26" t="inlineStr">
        <is>
          <t>Not started</t>
        </is>
      </c>
      <c r="E64" s="28" t="n"/>
      <c r="F64" s="40" t="n"/>
      <c r="G64" s="40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</row>
    <row r="65" ht="30" customHeight="1" s="21">
      <c r="A65" s="25" t="inlineStr">
        <is>
          <t>Professional Electronic Design Course</t>
        </is>
      </c>
      <c r="B65" s="26" t="n">
        <v>63</v>
      </c>
      <c r="C65" s="25" t="inlineStr">
        <is>
          <t>How the power inverter works</t>
        </is>
      </c>
      <c r="D65" s="26" t="inlineStr">
        <is>
          <t>Not started</t>
        </is>
      </c>
      <c r="E65" s="28" t="n"/>
      <c r="F65" s="40" t="n"/>
      <c r="G65" s="40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</row>
    <row r="66" ht="30" customHeight="1" s="21">
      <c r="A66" s="25" t="inlineStr">
        <is>
          <t>Professional Electronic Design Course</t>
        </is>
      </c>
      <c r="B66" s="26" t="n">
        <v>64</v>
      </c>
      <c r="C66" s="25" t="inlineStr">
        <is>
          <t>What is SPWM?</t>
        </is>
      </c>
      <c r="D66" s="26" t="inlineStr">
        <is>
          <t>Not started</t>
        </is>
      </c>
      <c r="E66" s="28" t="n"/>
      <c r="F66" s="40" t="n"/>
      <c r="G66" s="40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</row>
    <row r="67" ht="30" customHeight="1" s="21">
      <c r="A67" s="25" t="inlineStr">
        <is>
          <t>Professional Electronic Design Course</t>
        </is>
      </c>
      <c r="B67" s="26" t="n">
        <v>65</v>
      </c>
      <c r="C67" s="25" t="inlineStr">
        <is>
          <t>Developing a new frequency-detection circuit</t>
        </is>
      </c>
      <c r="D67" s="26" t="inlineStr">
        <is>
          <t>Not started</t>
        </is>
      </c>
      <c r="E67" s="28" t="n"/>
      <c r="F67" s="40" t="n"/>
      <c r="G67" s="40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</row>
    <row r="68" ht="30" customHeight="1" s="21">
      <c r="A68" s="25" t="inlineStr">
        <is>
          <t>Professional Electronic Design Course</t>
        </is>
      </c>
      <c r="B68" s="26" t="n">
        <v>66</v>
      </c>
      <c r="C68" s="25" t="inlineStr">
        <is>
          <t>Developing a new market circuit for temperature control with aluminium heat sinking</t>
        </is>
      </c>
      <c r="D68" s="26" t="inlineStr">
        <is>
          <t>Not started</t>
        </is>
      </c>
      <c r="E68" s="28" t="n"/>
      <c r="F68" s="40" t="n"/>
      <c r="G68" s="40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</row>
    <row r="69" ht="30" customHeight="1" s="21">
      <c r="A69" s="25" t="inlineStr">
        <is>
          <t>Professional Electronic Design Course</t>
        </is>
      </c>
      <c r="B69" s="26" t="n">
        <v>67</v>
      </c>
      <c r="C69" s="25" t="inlineStr">
        <is>
          <t>Introduction to the PCB course: what printed circuit boards are</t>
        </is>
      </c>
      <c r="D69" s="26" t="inlineStr">
        <is>
          <t>Not started</t>
        </is>
      </c>
      <c r="E69" s="28" t="n"/>
      <c r="F69" s="40" t="n"/>
      <c r="G69" s="40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</row>
    <row r="70" ht="30" customHeight="1" s="21">
      <c r="A70" s="25" t="inlineStr">
        <is>
          <t>Professional Electronic Design Course</t>
        </is>
      </c>
      <c r="B70" s="26" t="n">
        <v>68</v>
      </c>
      <c r="C70" s="25" t="inlineStr">
        <is>
          <t>Various practical examples of distinctive PCBs</t>
        </is>
      </c>
      <c r="D70" s="26" t="inlineStr">
        <is>
          <t>Not started</t>
        </is>
      </c>
      <c r="E70" s="28" t="n"/>
      <c r="F70" s="40" t="n"/>
      <c r="G70" s="40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</row>
    <row r="71" ht="30" customHeight="1" s="21">
      <c r="A71" s="25" t="inlineStr">
        <is>
          <t>Professional Electronic Design Course</t>
        </is>
      </c>
      <c r="B71" s="26" t="n">
        <v>69</v>
      </c>
      <c r="C71" s="25" t="inlineStr">
        <is>
          <t>PCB manufacturing processes by different methods, plus soldering</t>
        </is>
      </c>
      <c r="D71" s="26" t="inlineStr">
        <is>
          <t>Not started</t>
        </is>
      </c>
      <c r="E71" s="28" t="n"/>
      <c r="F71" s="40" t="n"/>
      <c r="G71" s="40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</row>
    <row r="72" ht="30" customHeight="1" s="21">
      <c r="A72" s="25" t="inlineStr">
        <is>
          <t>Professional Electronic Design Course</t>
        </is>
      </c>
      <c r="B72" s="26" t="n">
        <v>70</v>
      </c>
      <c r="C72" s="25" t="inlineStr">
        <is>
          <t>Designing the first PCB and an introduction to EasyEDA</t>
        </is>
      </c>
      <c r="D72" s="26" t="inlineStr">
        <is>
          <t>Not started</t>
        </is>
      </c>
      <c r="E72" s="28" t="n"/>
      <c r="F72" s="40" t="n"/>
      <c r="G72" s="40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</row>
    <row r="73" ht="30" customHeight="1" s="21">
      <c r="A73" s="25" t="inlineStr">
        <is>
          <t>Professional Electronic Design Course</t>
        </is>
      </c>
      <c r="B73" s="26" t="n">
        <v>71</v>
      </c>
      <c r="C73" s="25" t="inlineStr">
        <is>
          <t>Designing a PCB for a sound detector circuit</t>
        </is>
      </c>
      <c r="D73" s="26" t="inlineStr">
        <is>
          <t>Not started</t>
        </is>
      </c>
      <c r="E73" s="28" t="n"/>
      <c r="F73" s="40" t="n"/>
      <c r="G73" s="40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</row>
    <row r="74" ht="30" customHeight="1" s="21">
      <c r="A74" s="25" t="inlineStr">
        <is>
          <t>Professional Electronic Design Course</t>
        </is>
      </c>
      <c r="B74" s="26" t="n">
        <v>72</v>
      </c>
      <c r="C74" s="25" t="inlineStr">
        <is>
          <t>What matters about isolation in PCBs</t>
        </is>
      </c>
      <c r="D74" s="26" t="inlineStr">
        <is>
          <t>Not started</t>
        </is>
      </c>
      <c r="E74" s="28" t="n"/>
      <c r="F74" s="40" t="n"/>
      <c r="G74" s="40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</row>
    <row r="75" ht="30" customHeight="1" s="21">
      <c r="A75" s="25" t="inlineStr">
        <is>
          <t>Professional Electronic Design Course</t>
        </is>
      </c>
      <c r="B75" s="26" t="n">
        <v>73</v>
      </c>
      <c r="C75" s="25" t="inlineStr">
        <is>
          <t>What creepage means in PCB design and why it matters</t>
        </is>
      </c>
      <c r="D75" s="26" t="inlineStr">
        <is>
          <t>Not started</t>
        </is>
      </c>
      <c r="E75" s="28" t="n"/>
      <c r="F75" s="40" t="n"/>
      <c r="G75" s="40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</row>
    <row r="76" ht="30" customHeight="1" s="21">
      <c r="A76" s="25" t="inlineStr">
        <is>
          <t>Professional Electronic Design Course</t>
        </is>
      </c>
      <c r="B76" s="26" t="n">
        <v>74</v>
      </c>
      <c r="C76" s="25" t="inlineStr">
        <is>
          <t>SMD soldering and what a stencil is</t>
        </is>
      </c>
      <c r="D76" s="26" t="inlineStr">
        <is>
          <t>Not started</t>
        </is>
      </c>
      <c r="E76" s="28" t="n"/>
      <c r="F76" s="40" t="n"/>
      <c r="G76" s="40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</row>
    <row r="77" ht="30" customHeight="1" s="21">
      <c r="A77" s="25" t="inlineStr">
        <is>
          <t>Professional Electronic Design Course</t>
        </is>
      </c>
      <c r="B77" s="26" t="n">
        <v>75</v>
      </c>
      <c r="C77" s="25" t="inlineStr">
        <is>
          <t>Manufacturing a PCB on aluminium</t>
        </is>
      </c>
      <c r="D77" s="26" t="inlineStr">
        <is>
          <t>Not started</t>
        </is>
      </c>
      <c r="E77" s="28" t="n"/>
      <c r="F77" s="40" t="n"/>
      <c r="G77" s="40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</row>
    <row r="78" ht="30" customHeight="1" s="21">
      <c r="A78" s="25" t="inlineStr">
        <is>
          <t>Professional Electronic Design Course</t>
        </is>
      </c>
      <c r="B78" s="26" t="n">
        <v>76</v>
      </c>
      <c r="C78" s="25" t="inlineStr">
        <is>
          <t>Important considerations in PCB manufacturing for a more robust design</t>
        </is>
      </c>
      <c r="D78" s="26" t="inlineStr">
        <is>
          <t>Not started</t>
        </is>
      </c>
      <c r="E78" s="28" t="n"/>
      <c r="F78" s="40" t="n"/>
      <c r="G78" s="40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</row>
    <row r="79" ht="30" customHeight="1" s="21">
      <c r="A79" s="25" t="inlineStr">
        <is>
          <t>Professional Electronic Design Course</t>
        </is>
      </c>
      <c r="B79" s="26" t="n">
        <v>77</v>
      </c>
      <c r="C79" s="25" t="inlineStr">
        <is>
          <t>How to benefit from electronic design experience, practically and financially</t>
        </is>
      </c>
      <c r="D79" s="26" t="inlineStr">
        <is>
          <t>Not started</t>
        </is>
      </c>
      <c r="E79" s="28" t="n"/>
      <c r="F79" s="40" t="n"/>
      <c r="G79" s="40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</row>
  </sheetData>
  <autoFilter ref="A4:P200"/>
  <mergeCells count="2">
    <mergeCell ref="A1:P1"/>
    <mergeCell ref="A2:P2"/>
  </mergeCells>
  <dataValidations count="1">
    <dataValidation sqref="D5:D200" showDropDown="0" showInputMessage="0" showErrorMessage="0" allowBlank="1" type="list" errorStyle="stop" operator="between">
      <formula1>"Done,In progress,Not started"</formula1>
      <formula2>0</formula2>
    </dataValidation>
  </dataValidations>
  <hyperlinks>
    <hyperlink xmlns:r="http://schemas.openxmlformats.org/officeDocument/2006/relationships" ref="F10" r:id="rId1"/>
    <hyperlink xmlns:r="http://schemas.openxmlformats.org/officeDocument/2006/relationships" ref="G10" r:id="rId2"/>
    <hyperlink xmlns:r="http://schemas.openxmlformats.org/officeDocument/2006/relationships" ref="F11" r:id="rId3"/>
    <hyperlink xmlns:r="http://schemas.openxmlformats.org/officeDocument/2006/relationships" ref="G11" r:id="rId4"/>
    <hyperlink xmlns:r="http://schemas.openxmlformats.org/officeDocument/2006/relationships" ref="F12" r:id="rId5"/>
    <hyperlink xmlns:r="http://schemas.openxmlformats.org/officeDocument/2006/relationships" ref="G12" r:id="rId6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0" min="1" max="1"/>
    <col width="14" customWidth="1" style="20" min="2" max="2"/>
  </cols>
  <sheetData>
    <row r="1" ht="17.35" customHeight="1" s="21">
      <c r="A1" s="32" t="inlineStr">
        <is>
          <t>Progress Summary</t>
        </is>
      </c>
    </row>
    <row r="2" ht="15" customHeight="1" s="21">
      <c r="A2" s="33" t="inlineStr">
        <is>
          <t>Metric</t>
        </is>
      </c>
      <c r="B2" s="33" t="inlineStr">
        <is>
          <t>Value</t>
        </is>
      </c>
    </row>
    <row r="3" ht="15" customHeight="1" s="21">
      <c r="A3" s="34" t="inlineStr">
        <is>
          <t>Episodes logged</t>
        </is>
      </c>
      <c r="B3" s="35">
        <f>COUNTA(Episodes!B5:B200)</f>
        <v/>
      </c>
    </row>
    <row r="4" ht="15" customHeight="1" s="21">
      <c r="A4" s="34" t="inlineStr">
        <is>
          <t>Done</t>
        </is>
      </c>
      <c r="B4" s="35">
        <f>COUNTIF(Episodes!D5:D200,"Done")</f>
        <v/>
      </c>
    </row>
    <row r="5" ht="15" customHeight="1" s="21">
      <c r="A5" s="34" t="inlineStr">
        <is>
          <t>In progress</t>
        </is>
      </c>
      <c r="B5" s="35">
        <f>COUNTIF(Episodes!D5:D200,"In progress")</f>
        <v/>
      </c>
    </row>
    <row r="6" ht="15" customHeight="1" s="21">
      <c r="A6" s="34" t="inlineStr">
        <is>
          <t>Not started</t>
        </is>
      </c>
      <c r="B6" s="35">
        <f>COUNTIF(Episodes!D5:D200,"Not started")</f>
        <v/>
      </c>
    </row>
    <row r="7" ht="15" customHeight="1" s="21">
      <c r="A7" s="34" t="inlineStr">
        <is>
          <t>% done</t>
        </is>
      </c>
      <c r="B7" s="36">
        <f>IF(B3=0,0,B4/B3)</f>
        <v/>
      </c>
    </row>
    <row r="8" ht="15" customHeight="1" s="21">
      <c r="A8" s="34" t="inlineStr">
        <is>
          <t>Latest episode #</t>
        </is>
      </c>
      <c r="B8" s="35">
        <f>IF(B3=0,"-",MAX(Episodes!B5:B200))</f>
        <v/>
      </c>
    </row>
    <row r="10" ht="15" customHeight="1" s="21">
      <c r="A10" s="37" t="inlineStr">
        <is>
          <t>Per course</t>
        </is>
      </c>
    </row>
    <row r="11" ht="15" customHeight="1" s="21">
      <c r="A11" s="34" t="inlineStr">
        <is>
          <t>Professional Electronic Design Course</t>
        </is>
      </c>
      <c r="B11" s="34">
        <f>COUNTIF(Episodes!A5:A200,A11)</f>
        <v/>
      </c>
    </row>
    <row r="12" ht="15" customHeight="1" s="21">
      <c r="A12" s="38" t="inlineStr">
        <is>
          <t>(add course 2 name)</t>
        </is>
      </c>
      <c r="B12" s="34">
        <f>COUNTIF(Episodes!A5:A200,A12)</f>
        <v/>
      </c>
    </row>
    <row r="13" ht="15" customHeight="1" s="21">
      <c r="A13" s="38" t="inlineStr">
        <is>
          <t>(add course 3 name)</t>
        </is>
      </c>
      <c r="B13" s="34">
        <f>COUNTIF(Episodes!A5:A200,A13)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20" min="1" max="1"/>
  </cols>
  <sheetData>
    <row r="1" ht="17.35" customHeight="1" s="21">
      <c r="A1" s="39" t="inlineStr">
        <is>
          <t>How to use this index</t>
        </is>
      </c>
    </row>
    <row r="2" ht="15" customHeight="1" s="21">
      <c r="A2" s="40" t="n"/>
    </row>
    <row r="3" ht="15" customHeight="1" s="21">
      <c r="A3" s="40" t="inlineStr">
        <is>
          <t>• One row per episode on the Episodes sheet. Row 10 (ep08) is a filled example of the expected format.</t>
        </is>
      </c>
    </row>
    <row r="4" ht="15" customHeight="1" s="21">
      <c r="A4" s="40" t="inlineStr">
        <is>
          <t>• Status: pick Done / In progress / Not started from the dropdown. The Summary sheet counts these automatically.</t>
        </is>
      </c>
    </row>
    <row r="5" ht="15" customHeight="1" s="21">
      <c r="A5" s="40" t="inlineStr">
        <is>
          <t>• README / Video: write the label, then right-click → Link and paste the GitHub README URL or YouTube URL.</t>
        </is>
      </c>
    </row>
    <row r="6" ht="15" customHeight="1" s="21">
      <c r="A6" s="40" t="inlineStr">
        <is>
          <t>• README URL pattern: https://github.com/Layan002/electricity-diploma/blob/main/&lt;course-folder&gt;/&lt;episode-folder&gt;/README.md</t>
        </is>
      </c>
    </row>
    <row r="7" ht="15" customHeight="1" s="21">
      <c r="A7" s="40" t="inlineStr">
        <is>
          <t>• Use the filter arrows in row 4 to filter by course or status.</t>
        </is>
      </c>
    </row>
    <row r="8" ht="15" customHeight="1" s="21">
      <c r="A8" s="40" t="inlineStr">
        <is>
          <t>• Yellow cells on the Summary sheet are placeholders for the other two course names.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2026-10-16T06:00:16Z</dcterms:created>
  <dcterms:modified xmlns:dcterms="http://purl.org/dc/terms/" xmlns:xsi="http://www.w3.org/2001/XMLSchema-instance" xsi:type="dcterms:W3CDTF">2026-10-24T04:31:17Z</dcterms:modified>
  <cp:revision>0</cp:revision>
</cp:coreProperties>
</file>