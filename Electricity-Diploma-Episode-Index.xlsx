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isodes" sheetId="1" state="visible" r:id="rId3"/>
    <sheet name="Summary" sheetId="2" state="visible" r:id="rId4"/>
    <sheet name="How to use" sheetId="3" state="visible" r:id="rId5"/>
  </sheets>
  <definedNames>
    <definedName function="false" hidden="true" localSheetId="0" name="_xlnm._FilterDatabase" vbProcedure="false">Episodes!$A$4:$P$40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Click to open the episode's README on GitHub. To add a link: right-click → Link, paste the README URL.</t>
        </r>
      </text>
    </comment>
  </commentList>
</comments>
</file>

<file path=xl/sharedStrings.xml><?xml version="1.0" encoding="utf-8"?>
<sst xmlns="http://schemas.openxmlformats.org/spreadsheetml/2006/main" count="52" uniqueCount="50">
  <si>
    <t xml:space="preserve">Electricity Diploma — Episode Index</t>
  </si>
  <si>
    <t xml:space="preserve">Waleed Issa Academy (YouTube, Arabic) · My English notes, Circuit Wizard simulations and results · Repo: https://github.com/Layan002/electricity-diploma</t>
  </si>
  <si>
    <t xml:space="preserve">Course</t>
  </si>
  <si>
    <t xml:space="preserve">Ep #</t>
  </si>
  <si>
    <t xml:space="preserve">Episode Title</t>
  </si>
  <si>
    <t xml:space="preserve">Status</t>
  </si>
  <si>
    <t xml:space="preserve">Date Added</t>
  </si>
  <si>
    <t xml:space="preserve">README</t>
  </si>
  <si>
    <t xml:space="preserve">Video</t>
  </si>
  <si>
    <t xml:space="preserve">Concepts Covered</t>
  </si>
  <si>
    <t xml:space="preserve">Circuits Built</t>
  </si>
  <si>
    <t xml:space="preserve">Key Formulas</t>
  </si>
  <si>
    <t xml:space="preserve">Main Components</t>
  </si>
  <si>
    <t xml:space="preserve">Simulation Results (Circuit Wizard)</t>
  </si>
  <si>
    <t xml:space="preserve">Hardware Results (from video)</t>
  </si>
  <si>
    <t xml:space="preserve">Media in Folder</t>
  </si>
  <si>
    <t xml:space="preserve">What I Learned</t>
  </si>
  <si>
    <t xml:space="preserve">Notes / To-Do</t>
  </si>
  <si>
    <t xml:space="preserve">Professional Electronic Design Course</t>
  </si>
  <si>
    <t xml:space="preserve">Various transistor circuits and circuit design for a light bulb factory</t>
  </si>
  <si>
    <t xml:space="preserve">Done</t>
  </si>
  <si>
    <t xml:space="preserve">Open README</t>
  </si>
  <si>
    <t xml:space="preserve">Watch video</t>
  </si>
  <si>
    <t xml:space="preserve">• Push-pull (complementary NPN/PNP) pair to steer current between two LEDs
• Current-sensing transistor: sense resistor between base and emitter
• Combining small blocks into a bigger design
• Pull-up resistor as sensitivity calibration</t>
  </si>
  <si>
    <t xml:space="preserve">1. Push-pull LED selector (9 V)
2. Current-sense LED indicator (12 V, 0.6 Ω)
3. Light bulb tester: red if load &gt; 1 A, green if ≤ 1 A</t>
  </si>
  <si>
    <t xml:space="preserve">V_BE = I_load × R_s
I_trip ≈ 0.7 V / R_s
P = I² × R
I_LED ≈ (V_s − 0.7 − V_LED) / R</t>
  </si>
  <si>
    <t xml:space="preserve">BC547B (NPN) ×2, 2N5401 (PNP), R_s = 0.6 Ω (sim) / 3 × 1.5 Ω ∥ = 0.5 Ω (hardware), R3 = 4.7 kΩ pull-up, 2 × 220 Ω, red + green LED, 12 V supply</t>
  </si>
  <si>
    <t xml:space="preserve">• Push-pull: only one LED lit at a time ✔
• Current sensor: OFF at 1.0 A, dim at 1.1 A, bright at 1.2–1.5 A ✔
• Bulb tester: green at 0 / 0.5 A ✔, red + green at 1.0–1.1 A (transition), red only at 1.2 A ✔</t>
  </si>
  <si>
    <t xml:space="preserve">No load 0.038 A → green ✔
Bulb 1: 1.6 A → red ✔
Bulb 2: 0.19 A → green ✔</t>
  </si>
  <si>
    <t xml:space="preserve">3 screenshots (.png), 3 simulation GIFs + MP4s: push-pull switching, current-sense threshold, bulb-tester sweep</t>
  </si>
  <si>
    <t xml:space="preserve">A resistor between base and emitter turns a transistor into a current-threshold detector; a complementary pair lets one signal choose between two loads; always check sense-resistor power.</t>
  </si>
  <si>
    <t xml:space="preserve">Switch point in my sim is ≈ 1.2 A (video ≈ 1.1 A): try R3 = 5.6 kΩ or R4 ≈ 0.62–0.65 Ω. Sense resistors exceed ¼ W at 1.6 A → use ½–1 W.</t>
  </si>
  <si>
    <t xml:space="preserve">Progress Summary</t>
  </si>
  <si>
    <t xml:space="preserve">Metric</t>
  </si>
  <si>
    <t xml:space="preserve">Value</t>
  </si>
  <si>
    <t xml:space="preserve">Episodes logged</t>
  </si>
  <si>
    <t xml:space="preserve">In progress</t>
  </si>
  <si>
    <t xml:space="preserve">Not started</t>
  </si>
  <si>
    <t xml:space="preserve">% done</t>
  </si>
  <si>
    <t xml:space="preserve">Latest episode #</t>
  </si>
  <si>
    <t xml:space="preserve">Per course</t>
  </si>
  <si>
    <t xml:space="preserve">(add course 2 name)</t>
  </si>
  <si>
    <t xml:space="preserve">(add course 3 name)</t>
  </si>
  <si>
    <t xml:space="preserve">How to use this index</t>
  </si>
  <si>
    <t xml:space="preserve">• One row per episode on the Episodes sheet. Row 5 (ep08) is a filled example of the expected format.</t>
  </si>
  <si>
    <t xml:space="preserve">• Status: pick Done / In progress / Not started from the dropdown. The Summary sheet counts these automatically.</t>
  </si>
  <si>
    <t xml:space="preserve">• README / Video: write the label, then right-click → Link and paste the GitHub README URL or YouTube URL.</t>
  </si>
  <si>
    <t xml:space="preserve">• README URL pattern: https://github.com/Layan002/electricity-diploma/blob/main/&lt;course-folder&gt;/&lt;episode-folder&gt;/README.md</t>
  </si>
  <si>
    <t xml:space="preserve">• Use the filter arrows in row 4 to filter by course or status.</t>
  </si>
  <si>
    <t xml:space="preserve">• Yellow cells on the Summary sheet are placeholders for the other two course names.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</si>
</sst>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General"/>
    <numFmt numFmtId="167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github.com/Layan002/electricity-diploma/blob/main/professional-electronic-design-course/ep08-transistor-circuits-light-bulb-factory/README.md" TargetMode="External"/><Relationship Id="rId3" Type="http://schemas.openxmlformats.org/officeDocument/2006/relationships/hyperlink" Target="https://www.youtube.com/watch?v=qVGQhxMi4MI&amp;list=PLww54WQ2wa5qVh1p8iPi7HspX7N9hbvbc&amp;index=146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42"/>
    <col collapsed="false" customWidth="true" hidden="false" outlineLevel="0" max="9" min="9" style="0" width="40"/>
    <col collapsed="false" customWidth="true" hidden="false" outlineLevel="0" max="10" min="10" style="0" width="36"/>
    <col collapsed="false" customWidth="true" hidden="false" outlineLevel="0" max="11" min="11" style="0" width="38"/>
    <col collapsed="false" customWidth="true" hidden="false" outlineLevel="0" max="12" min="12" style="0" width="52"/>
    <col collapsed="false" customWidth="true" hidden="false" outlineLevel="0" max="13" min="13" style="0" width="42"/>
    <col collapsed="false" customWidth="true" hidden="false" outlineLevel="0" max="14" min="14" style="0" width="40"/>
    <col collapsed="false" customWidth="true" hidden="false" outlineLevel="0" max="15" min="15" style="0" width="48"/>
    <col collapsed="false" customWidth="true" hidden="false" outlineLevel="0" max="16" min="16" style="0" width="40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165" hidden="false" customHeight="true" outlineLevel="0" collapsed="false">
      <c r="A5" s="4" t="s">
        <v>18</v>
      </c>
      <c r="B5" s="5" t="n">
        <v>8</v>
      </c>
      <c r="C5" s="4" t="s">
        <v>19</v>
      </c>
      <c r="D5" s="6" t="s">
        <v>20</v>
      </c>
      <c r="E5" s="7" t="n">
        <v>46311</v>
      </c>
      <c r="F5" s="8" t="s">
        <v>21</v>
      </c>
      <c r="G5" s="8" t="s">
        <v>22</v>
      </c>
      <c r="H5" s="4" t="s">
        <v>23</v>
      </c>
      <c r="I5" s="4" t="s">
        <v>24</v>
      </c>
      <c r="J5" s="4" t="s">
        <v>25</v>
      </c>
      <c r="K5" s="4" t="s">
        <v>26</v>
      </c>
      <c r="L5" s="4" t="s">
        <v>27</v>
      </c>
      <c r="M5" s="4" t="s">
        <v>28</v>
      </c>
      <c r="N5" s="4" t="s">
        <v>29</v>
      </c>
      <c r="O5" s="4" t="s">
        <v>30</v>
      </c>
      <c r="P5" s="4" t="s">
        <v>31</v>
      </c>
    </row>
    <row r="6" customFormat="false" ht="15" hidden="false" customHeight="false" outlineLevel="0" collapsed="false">
      <c r="A6" s="9"/>
      <c r="B6" s="9"/>
      <c r="C6" s="9"/>
      <c r="D6" s="9"/>
      <c r="E6" s="10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customFormat="false" ht="15" hidden="false" customHeight="false" outlineLevel="0" collapsed="false">
      <c r="A7" s="9"/>
      <c r="B7" s="9"/>
      <c r="C7" s="9"/>
      <c r="D7" s="9"/>
      <c r="E7" s="10"/>
      <c r="F7" s="9"/>
      <c r="G7" s="9"/>
      <c r="H7" s="9"/>
      <c r="I7" s="9"/>
      <c r="J7" s="9"/>
      <c r="K7" s="9"/>
      <c r="L7" s="9"/>
      <c r="M7" s="9"/>
      <c r="N7" s="9"/>
      <c r="O7" s="9"/>
      <c r="P7" s="9"/>
    </row>
    <row r="8" customFormat="false" ht="15" hidden="false" customHeight="false" outlineLevel="0" collapsed="false">
      <c r="A8" s="9"/>
      <c r="B8" s="9"/>
      <c r="C8" s="9"/>
      <c r="D8" s="9"/>
      <c r="E8" s="10"/>
      <c r="F8" s="9"/>
      <c r="G8" s="9"/>
      <c r="H8" s="9"/>
      <c r="I8" s="9"/>
      <c r="J8" s="9"/>
      <c r="K8" s="9"/>
      <c r="L8" s="9"/>
      <c r="M8" s="9"/>
      <c r="N8" s="9"/>
      <c r="O8" s="9"/>
      <c r="P8" s="9"/>
    </row>
    <row r="9" customFormat="false" ht="15" hidden="false" customHeight="false" outlineLevel="0" collapsed="false">
      <c r="A9" s="9"/>
      <c r="B9" s="9"/>
      <c r="C9" s="9"/>
      <c r="D9" s="9"/>
      <c r="E9" s="10"/>
      <c r="F9" s="9"/>
      <c r="G9" s="9"/>
      <c r="H9" s="9"/>
      <c r="I9" s="9"/>
      <c r="J9" s="9"/>
      <c r="K9" s="9"/>
      <c r="L9" s="9"/>
      <c r="M9" s="9"/>
      <c r="N9" s="9"/>
      <c r="O9" s="9"/>
      <c r="P9" s="9"/>
    </row>
    <row r="10" customFormat="false" ht="15" hidden="false" customHeight="false" outlineLevel="0" collapsed="false">
      <c r="A10" s="9"/>
      <c r="B10" s="9"/>
      <c r="C10" s="9"/>
      <c r="D10" s="9"/>
      <c r="E10" s="10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customFormat="false" ht="15" hidden="false" customHeight="false" outlineLevel="0" collapsed="false">
      <c r="A11" s="9"/>
      <c r="B11" s="9"/>
      <c r="C11" s="9"/>
      <c r="D11" s="9"/>
      <c r="E11" s="10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customFormat="false" ht="15" hidden="false" customHeight="false" outlineLevel="0" collapsed="false">
      <c r="A12" s="9"/>
      <c r="B12" s="9"/>
      <c r="C12" s="9"/>
      <c r="D12" s="9"/>
      <c r="E12" s="10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customFormat="false" ht="15" hidden="false" customHeight="false" outlineLevel="0" collapsed="false">
      <c r="A13" s="9"/>
      <c r="B13" s="9"/>
      <c r="C13" s="9"/>
      <c r="D13" s="9"/>
      <c r="E13" s="10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customFormat="false" ht="15" hidden="false" customHeight="false" outlineLevel="0" collapsed="false">
      <c r="A14" s="9"/>
      <c r="B14" s="9"/>
      <c r="C14" s="9"/>
      <c r="D14" s="9"/>
      <c r="E14" s="10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customFormat="false" ht="15" hidden="false" customHeight="false" outlineLevel="0" collapsed="false">
      <c r="A15" s="9"/>
      <c r="B15" s="9"/>
      <c r="C15" s="9"/>
      <c r="D15" s="9"/>
      <c r="E15" s="10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customFormat="false" ht="15" hidden="false" customHeight="false" outlineLevel="0" collapsed="false">
      <c r="A16" s="9"/>
      <c r="B16" s="9"/>
      <c r="C16" s="9"/>
      <c r="D16" s="9"/>
      <c r="E16" s="10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customFormat="false" ht="15" hidden="false" customHeight="false" outlineLevel="0" collapsed="false">
      <c r="A17" s="9"/>
      <c r="B17" s="9"/>
      <c r="C17" s="9"/>
      <c r="D17" s="9"/>
      <c r="E17" s="10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customFormat="false" ht="15" hidden="false" customHeight="false" outlineLevel="0" collapsed="false">
      <c r="A18" s="9"/>
      <c r="B18" s="9"/>
      <c r="C18" s="9"/>
      <c r="D18" s="9"/>
      <c r="E18" s="10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customFormat="false" ht="15" hidden="false" customHeight="false" outlineLevel="0" collapsed="false">
      <c r="A19" s="9"/>
      <c r="B19" s="9"/>
      <c r="C19" s="9"/>
      <c r="D19" s="9"/>
      <c r="E19" s="10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customFormat="false" ht="15" hidden="false" customHeight="false" outlineLevel="0" collapsed="false">
      <c r="A20" s="9"/>
      <c r="B20" s="9"/>
      <c r="C20" s="9"/>
      <c r="D20" s="9"/>
      <c r="E20" s="10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customFormat="false" ht="15" hidden="false" customHeight="false" outlineLevel="0" collapsed="false">
      <c r="A21" s="9"/>
      <c r="B21" s="9"/>
      <c r="C21" s="9"/>
      <c r="D21" s="9"/>
      <c r="E21" s="10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customFormat="false" ht="15" hidden="false" customHeight="false" outlineLevel="0" collapsed="false">
      <c r="A22" s="9"/>
      <c r="B22" s="9"/>
      <c r="C22" s="9"/>
      <c r="D22" s="9"/>
      <c r="E22" s="10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customFormat="false" ht="15" hidden="false" customHeight="false" outlineLevel="0" collapsed="false">
      <c r="A23" s="9"/>
      <c r="B23" s="9"/>
      <c r="C23" s="9"/>
      <c r="D23" s="9"/>
      <c r="E23" s="10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customFormat="false" ht="15" hidden="false" customHeight="false" outlineLevel="0" collapsed="false">
      <c r="A24" s="9"/>
      <c r="B24" s="9"/>
      <c r="C24" s="9"/>
      <c r="D24" s="9"/>
      <c r="E24" s="10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customFormat="false" ht="15" hidden="false" customHeight="false" outlineLevel="0" collapsed="false">
      <c r="A25" s="9"/>
      <c r="B25" s="9"/>
      <c r="C25" s="9"/>
      <c r="D25" s="9"/>
      <c r="E25" s="10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</row>
    <row r="26" customFormat="false" ht="15" hidden="false" customHeight="false" outlineLevel="0" collapsed="false">
      <c r="A26" s="9"/>
      <c r="B26" s="9"/>
      <c r="C26" s="9"/>
      <c r="D26" s="9"/>
      <c r="E26" s="10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 customFormat="false" ht="15" hidden="false" customHeight="false" outlineLevel="0" collapsed="false">
      <c r="A27" s="9"/>
      <c r="B27" s="9"/>
      <c r="C27" s="9"/>
      <c r="D27" s="9"/>
      <c r="E27" s="10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</row>
    <row r="28" customFormat="false" ht="15" hidden="false" customHeight="false" outlineLevel="0" collapsed="false">
      <c r="A28" s="9"/>
      <c r="B28" s="9"/>
      <c r="C28" s="9"/>
      <c r="D28" s="9"/>
      <c r="E28" s="10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customFormat="false" ht="15" hidden="false" customHeight="false" outlineLevel="0" collapsed="false">
      <c r="A29" s="9"/>
      <c r="B29" s="9"/>
      <c r="C29" s="9"/>
      <c r="D29" s="9"/>
      <c r="E29" s="10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</row>
    <row r="30" customFormat="false" ht="15" hidden="false" customHeight="false" outlineLevel="0" collapsed="false">
      <c r="A30" s="9"/>
      <c r="B30" s="9"/>
      <c r="C30" s="9"/>
      <c r="D30" s="9"/>
      <c r="E30" s="10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 customFormat="false" ht="15" hidden="false" customHeight="false" outlineLevel="0" collapsed="false">
      <c r="A31" s="9"/>
      <c r="B31" s="9"/>
      <c r="C31" s="9"/>
      <c r="D31" s="9"/>
      <c r="E31" s="10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</row>
    <row r="32" customFormat="false" ht="15" hidden="false" customHeight="false" outlineLevel="0" collapsed="false">
      <c r="A32" s="9"/>
      <c r="B32" s="9"/>
      <c r="C32" s="9"/>
      <c r="D32" s="9"/>
      <c r="E32" s="10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</row>
    <row r="33" customFormat="false" ht="15" hidden="false" customHeight="false" outlineLevel="0" collapsed="false">
      <c r="A33" s="9"/>
      <c r="B33" s="9"/>
      <c r="C33" s="9"/>
      <c r="D33" s="9"/>
      <c r="E33" s="10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 customFormat="false" ht="15" hidden="false" customHeight="false" outlineLevel="0" collapsed="false">
      <c r="A34" s="9"/>
      <c r="B34" s="9"/>
      <c r="C34" s="9"/>
      <c r="D34" s="9"/>
      <c r="E34" s="10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</row>
    <row r="35" customFormat="false" ht="15" hidden="false" customHeight="false" outlineLevel="0" collapsed="false">
      <c r="A35" s="9"/>
      <c r="B35" s="9"/>
      <c r="C35" s="9"/>
      <c r="D35" s="9"/>
      <c r="E35" s="10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customFormat="false" ht="15" hidden="false" customHeight="false" outlineLevel="0" collapsed="false">
      <c r="A36" s="9"/>
      <c r="B36" s="9"/>
      <c r="C36" s="9"/>
      <c r="D36" s="9"/>
      <c r="E36" s="10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customFormat="false" ht="15" hidden="false" customHeight="false" outlineLevel="0" collapsed="false">
      <c r="A37" s="9"/>
      <c r="B37" s="9"/>
      <c r="C37" s="9"/>
      <c r="D37" s="9"/>
      <c r="E37" s="10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customFormat="false" ht="15" hidden="false" customHeight="false" outlineLevel="0" collapsed="false">
      <c r="A38" s="9"/>
      <c r="B38" s="9"/>
      <c r="C38" s="9"/>
      <c r="D38" s="9"/>
      <c r="E38" s="10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customFormat="false" ht="15" hidden="false" customHeight="false" outlineLevel="0" collapsed="false">
      <c r="A39" s="9"/>
      <c r="B39" s="9"/>
      <c r="C39" s="9"/>
      <c r="D39" s="9"/>
      <c r="E39" s="10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customFormat="false" ht="15" hidden="false" customHeight="false" outlineLevel="0" collapsed="false">
      <c r="A40" s="9"/>
      <c r="B40" s="9"/>
      <c r="C40" s="9"/>
      <c r="D40" s="9"/>
      <c r="E40" s="10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</row>
  </sheetData>
  <autoFilter ref="A4:P40"/>
  <mergeCells count="2">
    <mergeCell ref="A1:P1"/>
    <mergeCell ref="A2:P2"/>
  </mergeCells>
  <dataValidations count="1">
    <dataValidation allowBlank="true" errorStyle="stop" operator="between" showDropDown="false" showErrorMessage="false" showInputMessage="false" sqref="D5:D40" type="list">
      <formula1>"Done,In progress,Not started"</formula1>
      <formula2>0</formula2>
    </dataValidation>
  </dataValidations>
  <hyperlinks>
    <hyperlink ref="F5" r:id="rId2" display="Open README"/>
    <hyperlink ref="G5" r:id="rId3" display="Watch vide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1" t="s">
        <v>32</v>
      </c>
    </row>
    <row r="2" customFormat="false" ht="15" hidden="false" customHeight="false" outlineLevel="0" collapsed="false">
      <c r="A2" s="12" t="s">
        <v>33</v>
      </c>
      <c r="B2" s="12" t="s">
        <v>34</v>
      </c>
    </row>
    <row r="3" customFormat="false" ht="15" hidden="false" customHeight="false" outlineLevel="0" collapsed="false">
      <c r="A3" s="13" t="s">
        <v>35</v>
      </c>
      <c r="B3" s="14" t="n">
        <f aca="false">COUNTA(Episodes!B5:B40)</f>
        <v>1</v>
      </c>
    </row>
    <row r="4" customFormat="false" ht="15" hidden="false" customHeight="false" outlineLevel="0" collapsed="false">
      <c r="A4" s="13" t="s">
        <v>20</v>
      </c>
      <c r="B4" s="14" t="n">
        <f aca="false">COUNTIF(Episodes!D5:D40,"Done")</f>
        <v>1</v>
      </c>
    </row>
    <row r="5" customFormat="false" ht="15" hidden="false" customHeight="false" outlineLevel="0" collapsed="false">
      <c r="A5" s="13" t="s">
        <v>36</v>
      </c>
      <c r="B5" s="14" t="n">
        <f aca="false">COUNTIF(Episodes!D5:D40,"In progress")</f>
        <v>0</v>
      </c>
    </row>
    <row r="6" customFormat="false" ht="15" hidden="false" customHeight="false" outlineLevel="0" collapsed="false">
      <c r="A6" s="13" t="s">
        <v>37</v>
      </c>
      <c r="B6" s="14" t="n">
        <f aca="false">COUNTIF(Episodes!D5:D40,"Not started")</f>
        <v>0</v>
      </c>
    </row>
    <row r="7" customFormat="false" ht="15" hidden="false" customHeight="false" outlineLevel="0" collapsed="false">
      <c r="A7" s="13" t="s">
        <v>38</v>
      </c>
      <c r="B7" s="15" t="n">
        <f aca="false">IF(B3=0,0,B4/B3)</f>
        <v>1</v>
      </c>
    </row>
    <row r="8" customFormat="false" ht="15" hidden="false" customHeight="false" outlineLevel="0" collapsed="false">
      <c r="A8" s="13" t="s">
        <v>39</v>
      </c>
      <c r="B8" s="14" t="n">
        <f aca="false">IF(B3=0,"-",MAX(Episodes!B5:B40))</f>
        <v>8</v>
      </c>
    </row>
    <row r="10" customFormat="false" ht="15" hidden="false" customHeight="false" outlineLevel="0" collapsed="false">
      <c r="A10" s="16" t="s">
        <v>40</v>
      </c>
    </row>
    <row r="11" customFormat="false" ht="15" hidden="false" customHeight="false" outlineLevel="0" collapsed="false">
      <c r="A11" s="13" t="s">
        <v>18</v>
      </c>
      <c r="B11" s="13" t="n">
        <f aca="false">COUNTIF(Episodes!A5:A40,A11)</f>
        <v>1</v>
      </c>
    </row>
    <row r="12" customFormat="false" ht="15" hidden="false" customHeight="false" outlineLevel="0" collapsed="false">
      <c r="A12" s="17" t="s">
        <v>41</v>
      </c>
      <c r="B12" s="13" t="n">
        <f aca="false">COUNTIF(Episodes!A5:A40,A12)</f>
        <v>0</v>
      </c>
    </row>
    <row r="13" customFormat="false" ht="15" hidden="false" customHeight="false" outlineLevel="0" collapsed="false">
      <c r="A13" s="17" t="s">
        <v>42</v>
      </c>
      <c r="B13" s="13" t="n">
        <f aca="false">COUNTIF(Episodes!A5:A40,A13)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8" t="s">
        <v>43</v>
      </c>
    </row>
    <row r="2" customFormat="false" ht="15" hidden="false" customHeight="false" outlineLevel="0" collapsed="false">
      <c r="A2" s="19"/>
    </row>
    <row r="3" customFormat="false" ht="15" hidden="false" customHeight="false" outlineLevel="0" collapsed="false">
      <c r="A3" s="19" t="s">
        <v>44</v>
      </c>
    </row>
    <row r="4" customFormat="false" ht="15" hidden="false" customHeight="false" outlineLevel="0" collapsed="false">
      <c r="A4" s="19" t="s">
        <v>45</v>
      </c>
    </row>
    <row r="5" customFormat="false" ht="15" hidden="false" customHeight="false" outlineLevel="0" collapsed="false">
      <c r="A5" s="19" t="s">
        <v>46</v>
      </c>
    </row>
    <row r="6" customFormat="false" ht="15" hidden="false" customHeight="false" outlineLevel="0" collapsed="false">
      <c r="A6" s="19" t="s">
        <v>47</v>
      </c>
    </row>
    <row r="7" customFormat="false" ht="15" hidden="false" customHeight="false" outlineLevel="0" collapsed="false">
      <c r="A7" s="19" t="s">
        <v>48</v>
      </c>
    </row>
    <row r="8" customFormat="false" ht="15" hidden="false" customHeight="false" outlineLevel="0" collapsed="false">
      <c r="A8" s="19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2026-10-16T06:00:16Z</dcterms:created>
  <dc:creator>openpyxl</dc:creator>
  <dc:description/>
  <dc:language>en-US</dc:language>
  <cp:lastModifiedBy/>
  <dcterms:modified xsi:type="dcterms:W3CDTF">2026-10-16T06:00:16Z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