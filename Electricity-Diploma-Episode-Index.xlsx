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hyperlink" Target="https://github.com/Layan002/electricity-diploma/blob/main/professional-electronic-design-course/ep11-car-cooling-fan-control/README.md" TargetMode="External" Id="rId7"/><Relationship Type="http://schemas.openxmlformats.org/officeDocument/2006/relationships/hyperlink" Target="https://www.youtube.com/watch?v=MS73p18R1EE&amp;list=PLww54WQ2wa5qVh1p8iPi7HspX7N9hbvbc&amp;index=149" TargetMode="External" Id="rId8"/><Relationship Type="http://schemas.openxmlformats.org/officeDocument/2006/relationships/hyperlink" Target="https://github.com/Layan002/electricity-diploma/blob/main/professional-electronic-design-course/ep12-car-fan-delayed-turn-off/README.md" TargetMode="External" Id="rId9"/><Relationship Type="http://schemas.openxmlformats.org/officeDocument/2006/relationships/hyperlink" Target="https://www.youtube.com/watch?v=1Mw3kMX2Aks&amp;list=PLww54WQ2wa5qVh1p8iPi7HspX7N9hbvbc&amp;index=150" TargetMode="External" Id="rId10"/><Relationship Type="http://schemas.openxmlformats.org/officeDocument/2006/relationships/hyperlink" Target="https://github.com/Layan002/electricity-diploma/blob/main/professional-electronic-design-course/ep13-useless-machine-motor-circuit/README.md" TargetMode="External" Id="rId11"/><Relationship Type="http://schemas.openxmlformats.org/officeDocument/2006/relationships/hyperlink" Target="https://www.youtube.com/playlist?list=PLww54WQ2wa5qVh1p8iPi7HspX7N9hbvbc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30" customHeight="1" s="21">
      <c r="A5" s="25" t="inlineStr">
        <is>
          <t>Professional Electronic Design Course</t>
        </is>
      </c>
      <c r="B5" s="26" t="n">
        <v>3</v>
      </c>
      <c r="C5" s="25" t="inlineStr">
        <is>
          <t>Designing a simple circuit (closed / open) with full calculations</t>
        </is>
      </c>
      <c r="D5" s="27" t="inlineStr">
        <is>
          <t>Done</t>
        </is>
      </c>
      <c r="E5" s="28" t="n"/>
      <c r="F5" s="40" t="n"/>
      <c r="G5" s="40" t="n"/>
      <c r="H5" s="25" t="n"/>
      <c r="I5" s="25" t="n"/>
      <c r="J5" s="25" t="n"/>
      <c r="K5" s="25" t="n"/>
      <c r="L5" s="25" t="inlineStr">
        <is>
          <t>Done (files not uploaded yet)</t>
        </is>
      </c>
      <c r="M5" s="25" t="n"/>
      <c r="N5" s="25" t="inlineStr">
        <is>
          <t>Not uploaded yet</t>
        </is>
      </c>
      <c r="O5" s="25" t="n"/>
      <c r="P5" s="25" t="inlineStr">
        <is>
          <t>Finished with simulation. To do: add README summary + simulation files to GitHub.</t>
        </is>
      </c>
    </row>
    <row r="6" ht="30" customHeight="1" s="21">
      <c r="A6" s="25" t="inlineStr">
        <is>
          <t>Professional Electronic Design Course</t>
        </is>
      </c>
      <c r="B6" s="26" t="n">
        <v>4</v>
      </c>
      <c r="C6" s="25" t="inlineStr">
        <is>
          <t>Designing a quiz board for two school teams</t>
        </is>
      </c>
      <c r="D6" s="27" t="inlineStr">
        <is>
          <t>Done</t>
        </is>
      </c>
      <c r="E6" s="28" t="n"/>
      <c r="F6" s="40" t="n"/>
      <c r="G6" s="40" t="n"/>
      <c r="H6" s="25" t="n"/>
      <c r="I6" s="25" t="n"/>
      <c r="J6" s="25" t="n"/>
      <c r="K6" s="25" t="n"/>
      <c r="L6" s="25" t="inlineStr">
        <is>
          <t>Done (files not uploaded yet)</t>
        </is>
      </c>
      <c r="M6" s="25" t="n"/>
      <c r="N6" s="25" t="inlineStr">
        <is>
          <t>Not uploaded yet</t>
        </is>
      </c>
      <c r="O6" s="25" t="n"/>
      <c r="P6" s="25" t="inlineStr">
        <is>
          <t>Finished with simulation. To do: add README summary + simulation files to GitHub.</t>
        </is>
      </c>
    </row>
    <row r="7" ht="30" customHeight="1" s="21">
      <c r="A7" s="25" t="inlineStr">
        <is>
          <t>Professional Electronic Design Course</t>
        </is>
      </c>
      <c r="B7" s="26" t="n">
        <v>5</v>
      </c>
      <c r="C7" s="25" t="inlineStr">
        <is>
          <t>Designing a large LED display board and choosing its component values</t>
        </is>
      </c>
      <c r="D7" s="27" t="inlineStr">
        <is>
          <t>Done</t>
        </is>
      </c>
      <c r="E7" s="28" t="n"/>
      <c r="F7" s="40" t="n"/>
      <c r="G7" s="40" t="n"/>
      <c r="H7" s="25" t="n"/>
      <c r="I7" s="25" t="n"/>
      <c r="J7" s="25" t="n"/>
      <c r="K7" s="25" t="n"/>
      <c r="L7" s="25" t="inlineStr">
        <is>
          <t>Done (files not uploaded yet)</t>
        </is>
      </c>
      <c r="M7" s="25" t="n"/>
      <c r="N7" s="25" t="inlineStr">
        <is>
          <t>Not uploaded yet</t>
        </is>
      </c>
      <c r="O7" s="25" t="n"/>
      <c r="P7" s="25" t="inlineStr">
        <is>
          <t>Finished with simulation. To do: add README summary + simulation files to GitHub.</t>
        </is>
      </c>
    </row>
    <row r="8" ht="30" customHeight="1" s="21">
      <c r="A8" s="25" t="inlineStr">
        <is>
          <t>Professional Electronic Design Course</t>
        </is>
      </c>
      <c r="B8" s="26" t="n">
        <v>6</v>
      </c>
      <c r="C8" s="25" t="inlineStr">
        <is>
          <t>Designing a relay circuit for a contest where the fastest team wins</t>
        </is>
      </c>
      <c r="D8" s="27" t="inlineStr">
        <is>
          <t>Done</t>
        </is>
      </c>
      <c r="E8" s="28" t="n"/>
      <c r="F8" s="40" t="n"/>
      <c r="G8" s="40" t="n"/>
      <c r="H8" s="25" t="n"/>
      <c r="I8" s="25" t="n"/>
      <c r="J8" s="25" t="n"/>
      <c r="K8" s="25" t="n"/>
      <c r="L8" s="25" t="inlineStr">
        <is>
          <t>Done (files not uploaded yet)</t>
        </is>
      </c>
      <c r="M8" s="25" t="n"/>
      <c r="N8" s="25" t="inlineStr">
        <is>
          <t>Not uploaded yet</t>
        </is>
      </c>
      <c r="O8" s="25" t="n"/>
      <c r="P8" s="25" t="inlineStr">
        <is>
          <t>Finished with simulation. To do: add README summary + simulation files to GitHub.</t>
        </is>
      </c>
    </row>
    <row r="9" ht="30" customHeight="1" s="21">
      <c r="A9" s="25" t="inlineStr">
        <is>
          <t>Professional Electronic Design Course</t>
        </is>
      </c>
      <c r="B9" s="26" t="n">
        <v>7</v>
      </c>
      <c r="C9" s="25" t="inlineStr">
        <is>
          <t>Designing a fish tank circuit based on sunlight intensity, with a light cell</t>
        </is>
      </c>
      <c r="D9" s="27" t="inlineStr">
        <is>
          <t>Done</t>
        </is>
      </c>
      <c r="E9" s="28" t="n"/>
      <c r="F9" s="40" t="n"/>
      <c r="G9" s="40" t="n"/>
      <c r="H9" s="25" t="n"/>
      <c r="I9" s="25" t="n"/>
      <c r="J9" s="25" t="n"/>
      <c r="K9" s="25" t="n"/>
      <c r="L9" s="25" t="inlineStr">
        <is>
          <t>Done (files not uploaded yet)</t>
        </is>
      </c>
      <c r="M9" s="25" t="n"/>
      <c r="N9" s="25" t="inlineStr">
        <is>
          <t>Not uploaded yet</t>
        </is>
      </c>
      <c r="O9" s="25" t="n"/>
      <c r="P9" s="25" t="inlineStr">
        <is>
          <t>Finished with simulation. To do: add README summary + simulation files to GitHub.</t>
        </is>
      </c>
    </row>
    <row r="10" ht="165" customHeight="1" s="21">
      <c r="A10" s="25" t="inlineStr">
        <is>
          <t>Professional Electronic Design Course</t>
        </is>
      </c>
      <c r="B10" s="26" t="n">
        <v>8</v>
      </c>
      <c r="C10" s="25" t="inlineStr">
        <is>
          <t>Various transistor circuits and circuit design for a light bulb factory</t>
        </is>
      </c>
      <c r="D10" s="27" t="inlineStr">
        <is>
          <t>Done</t>
        </is>
      </c>
      <c r="E10" s="28" t="n">
        <v>46311</v>
      </c>
      <c r="F10" s="29" t="inlineStr">
        <is>
          <t>Open README</t>
        </is>
      </c>
      <c r="G10" s="29" t="inlineStr">
        <is>
          <t>Watch video</t>
        </is>
      </c>
      <c r="H10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10" s="25" t="inlineStr">
        <is>
          <t>1. Push-pull LED selector (9 V)
2. Current-sense LED indicator (12 V, 0.6 Ω)
3. Light bulb tester: red if load &gt; 1 A, green if ≤ 1 A</t>
        </is>
      </c>
      <c r="J10" s="25" t="inlineStr">
        <is>
          <t>V_BE = I_load × R_s
I_trip ≈ 0.7 V / R_s
P = I² × R
I_LED ≈ (V_s − 0.7 − V_LED) / R</t>
        </is>
      </c>
      <c r="K10" s="25" t="inlineStr">
        <is>
          <t>BC547B (NPN) ×2, 2N5401 (PNP), R_s = 0.6 Ω (sim) / 3 × 1.5 Ω ∥ = 0.5 Ω (hardware), R3 = 4.7 kΩ pull-up, 2 × 220 Ω, red + green LED, 12 V supply</t>
        </is>
      </c>
      <c r="L10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10" s="25" t="inlineStr">
        <is>
          <t>No load 0.038 A → green ✔
Bulb 1: 1.6 A → red ✔
Bulb 2: 0.19 A → green ✔</t>
        </is>
      </c>
      <c r="N10" s="25" t="inlineStr">
        <is>
          <t>3 screenshots (.png), 3 simulation GIFs + MP4s: push-pull switching, current-sense threshold, bulb-tester sweep</t>
        </is>
      </c>
      <c r="O10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10" s="25" t="inlineStr">
        <is>
          <t>Switch point in my sim is ≈ 1.2 A (video ≈ 1.1 A): try R3 = 5.6 kΩ or R4 ≈ 0.62–0.65 Ω. Sense resistors exceed ¼ W at 1.6 A → use ½–1 W.</t>
        </is>
      </c>
    </row>
    <row r="11" ht="165" customHeight="1" s="21">
      <c r="A11" s="25" t="inlineStr">
        <is>
          <t>Professional Electronic Design Course</t>
        </is>
      </c>
      <c r="B11" s="26" t="n">
        <v>9</v>
      </c>
      <c r="C11" s="25" t="inlineStr">
        <is>
          <t>Designing a motor control switch monitoring circuit with LEDs</t>
        </is>
      </c>
      <c r="D11" s="27" t="inlineStr">
        <is>
          <t>Done</t>
        </is>
      </c>
      <c r="E11" s="28" t="n">
        <v>46316</v>
      </c>
      <c r="F11" s="20" t="inlineStr">
        <is>
          <t>Open README</t>
        </is>
      </c>
      <c r="G11" s="20" t="inlineStr">
        <is>
          <t>Watch video</t>
        </is>
      </c>
      <c r="H11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11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11" s="25" t="inlineStr">
        <is>
          <t>V_branch = n × 0.7 V + V_F (diodes)
V_branch = V_Z + V_F (Zener)
Branch off if V_branch &gt; V_F,green ≈ 2 V
V_green = V_s − I × R_shared</t>
        </is>
      </c>
      <c r="K11" s="25" t="inlineStr">
        <is>
          <t>12 V supply, DC motor, SPST switch, 3 × silicon diode, 1N751 5.1 V Zener, NPN transistor, 1 kΩ resistors, red + green LED</t>
        </is>
      </c>
      <c r="L11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11" s="25" t="inlineStr">
        <is>
          <t>All three boards switch red ↔ green correctly with a lamp load. Diodes stay cool, Zener slightly warm, transistor design's resistor gets warm.</t>
        </is>
      </c>
      <c r="N11" s="25" t="inlineStr">
        <is>
          <t>3 simulation GIFs + MP4s: three-diodes switching, Zener first press, Zener toggling</t>
        </is>
      </c>
      <c r="O11" s="25" t="inlineStr">
        <is>
          <t>A lit LED clamps anything in parallel to ≈ 2 V, so making the other branch need more voltage forces it off. A transistor short works too, but each LED then needs its own resistor.</t>
        </is>
      </c>
      <c r="P11" s="25" t="inlineStr">
        <is>
          <t>Transistor design: shared 1 kΩ dropped ≈ 10.8 V, leaving ≈ 1.2–1.6 V for green (off) → fixed with separate resistors. No transistor-design sim recorded yet.</t>
        </is>
      </c>
    </row>
    <row r="12" ht="165" customHeight="1" s="21">
      <c r="A12" s="25" t="inlineStr">
        <is>
          <t>Professional Electronic Design Course</t>
        </is>
      </c>
      <c r="B12" s="26" t="n">
        <v>10</v>
      </c>
      <c r="C12" s="25" t="inlineStr">
        <is>
          <t>Designing a battery charge status monitoring circuit</t>
        </is>
      </c>
      <c r="D12" s="27" t="inlineStr">
        <is>
          <t>Done</t>
        </is>
      </c>
      <c r="E12" s="28" t="n">
        <v>46319</v>
      </c>
      <c r="F12" s="20" t="inlineStr">
        <is>
          <t>Open README</t>
        </is>
      </c>
      <c r="G12" s="20" t="inlineStr">
        <is>
          <t>Watch video</t>
        </is>
      </c>
      <c r="H12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12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12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12" s="25" t="inlineStr">
        <is>
          <t>2 × BC547B (β 200–450), BZX85C10 Zener (9.4–10.6 V), R_B1 = 677 Ω (600 Ω calc, 10 kΩ also works), R_B2 = 46 kΩ, 2 × 1 kΩ, red + green LED, 12 V battery</t>
        </is>
      </c>
      <c r="L12" s="25" t="inlineStr">
        <is>
          <t>• R_B1 = 10 kΩ: 11 V → green, I_B1 = 52 µA, V_CE(Q1) = 101 mV ✔; 10 V → red 2.12 V, Zener 9.56 V at 0 A ✔; 8 V → red ✔
• R_B1 = 677 Ω: 11 V → green, I_B1 = 638 µA, V_CE(Q1) = 24 mV ✔; 10 V → red ✔; 5 V → red dim
• ≤ 3 V → neither LED lights</t>
        </is>
      </c>
      <c r="M12" s="25" t="inlineStr">
        <is>
          <t>12 V, 11 V → green ✔; ≤ 10 V → red ✔; switch point ≈ 10.5 V (red starts glowing ≈ 10.6 V). With R_B1 = 10 kΩ still switches between 10 V and 11 V, lower battery drain.</t>
        </is>
      </c>
      <c r="N12" s="25" t="inlineStr">
        <is>
          <t>1 simulation GIF + MP4: battery voltage sweep (10 kΩ vs 677 Ω)</t>
        </is>
      </c>
      <c r="O12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12" s="25" t="inlineStr">
        <is>
          <t>Sim used 1N4740 (10 V) instead of BZX85C10. To do: 0.1 V sweep between 10 and 11 V to find my switch point (video ≈ 10.5 V); try an LDR version (light/dark indicator).</t>
        </is>
      </c>
    </row>
    <row r="13" ht="165" customHeight="1" s="21">
      <c r="A13" s="25" t="inlineStr">
        <is>
          <t>Professional Electronic Design Course</t>
        </is>
      </c>
      <c r="B13" s="26" t="n">
        <v>11</v>
      </c>
      <c r="C13" s="25" t="inlineStr">
        <is>
          <t>Designing a car-factory panel to control the cooling fan</t>
        </is>
      </c>
      <c r="D13" s="27" t="inlineStr">
        <is>
          <t>Done</t>
        </is>
      </c>
      <c r="E13" s="28" t="n">
        <v>46321</v>
      </c>
      <c r="F13" s="20" t="inlineStr">
        <is>
          <t>Open README</t>
        </is>
      </c>
      <c r="G13" s="20" t="inlineStr">
        <is>
          <t>Watch video</t>
        </is>
      </c>
      <c r="H13" s="25" t="inlineStr">
        <is>
          <t>• Saturation: V_CE ≈ 0 → P = V_CE × I_C ≈ 0 → no heating
• Car rule: every load grounded to the chassis, switch the positive (high) side
• NPN above a grounded load = emitter follower, cannot saturate
• Driver transistor: small NPN pulls a PNP base to 0 V so the PNP saturates
• NTC thermistor in a voltage divider as a temperature switch</t>
        </is>
      </c>
      <c r="I13" s="25" t="inlineStr">
        <is>
          <t>1. Inverting pair with load below the NPN (fails to saturate: LED 7.8 V, motor 7 V)
2. Driver transistor: BC547 NPN drives PNP high-side switch (+ indicator LED)
3. Alternate form: PNP drives NPN (ground-active input)
4. Car cooling fan controller: NTC thermistor divider → BC547B → BD140 → 12 V fan</t>
        </is>
      </c>
      <c r="J13" s="25" t="inlineStr">
        <is>
          <t>P_loss = V_CE × I_C (2 V × 1.2 A ≈ 2.4 W)
TIP31: 1 / 0.32 W/°C ≈ 3.1 °C/W
V_out = V_in · R2 / (R1 + R2)
0.4 = 12 · R2 / (8 kΩ + R2) → R2 ≈ 276 Ω → 100 Ω used</t>
        </is>
      </c>
      <c r="K13" s="25" t="inlineStr">
        <is>
          <t>BD140 (PNP, high current), BC547B (NPN), NTC thermistor (≈ 8 kΩ at 25 °C, ≈ 100 Ω hot), R2 = 100 Ω, 1 kΩ, red LED, 12 V fan, 12 V supply. Datasheets read: TIP31/32 (40 W), BC547 (500 mW), 2N2222 (2.28 mW/°C)</t>
        </is>
      </c>
      <c r="L13" s="25" t="inlineStr">
        <is>
          <t>• NPN above load: V_CE = 4.20 V (LED pull-up) / 4.12 V (10 kΩ pull-up) → load 7.8 V, matches video ✔
• Driver BC547B → TIP127: LED V_CE = 412 mV ✔; motor V_CE = 489–577 mV ✔ (≈ 10× less waste)
• PNP drives NPN, switch to ground: output NPN V_CE = 54.85 mV ✔
• Fan controller (10 kΩ NTC, R5 = 100 Ω): off up to 56.9 °C; starts at 2.07 kΩ / 64.6 °C (my ≈ 2 kΩ estimate ✔); at 80 °C BD140 still drops 9.05 V ✘ (not saturated)</t>
        </is>
      </c>
      <c r="M13" s="25" t="inlineStr">
        <is>
          <t>Video sim: NPN above load → LED 7.8 V, motor ≈ 7–9 V (≈ 2 V lost); PNP driver → LED 11.58 V, lamp + motor ≈ 11 V, 11.18 V at 1.5 A with 1 kΩ. Fan sim: ≈ 0.5 V cold (off), ≈ 2 V hot (on).
Hardware: soldering iron near thermistor → red LED + fan on; removed → off. Fan aimed at the sensor turns on/off quickly.</t>
        </is>
      </c>
      <c r="N13" s="25" t="inlineStr">
        <is>
          <t>6 simulation GIFs + MP4s: NPN above load (LED pull-up, 10 kΩ pull-up), TIP127 driver (LED, motor), PNP→NPN ground-active input, thermistor fan controller sweep</t>
        </is>
      </c>
      <c r="O13" s="25" t="inlineStr">
        <is>
          <t>A grounded load needs a PNP on the high side, and a small NPN driver is what pulls it fully into saturation. Add a thermistor divider in front and the same block becomes an automatic temperature-controlled fan. In my sim, the fan controller showed that a driver only helps if the first transistor saturates too: a &lt; 1 V divider through 10 kΩ starves Q1, so the BD140 wasted ≈ 9 V.</t>
        </is>
      </c>
      <c r="P13" s="25" t="inlineStr">
        <is>
          <t>Sims used TIP127 (PNP Darlington) instead of BD140 for the switch demos, and a 10 kΩ@25 °C thermistor. To do: fix fan controller (R1 10 kΩ → ≈ 1 kΩ, R3 600 Ω → ≈ 2.2 kΩ) and re-check V_CE at 80 °C; try BD140 in the switch sims; add an ammeter to compute P = V_CE × I_fan; compare R2 = 276 Ω vs 100 Ω.</t>
        </is>
      </c>
    </row>
    <row r="14" ht="165" customHeight="1" s="21">
      <c r="A14" s="25" t="inlineStr">
        <is>
          <t>Professional Electronic Design Course</t>
        </is>
      </c>
      <c r="B14" s="26" t="n">
        <v>12</v>
      </c>
      <c r="C14" s="25" t="inlineStr">
        <is>
          <t>Designing a car-factory circuit for testing fans</t>
        </is>
      </c>
      <c r="D14" s="27" t="inlineStr">
        <is>
          <t>Done</t>
        </is>
      </c>
      <c r="E14" s="28" t="n">
        <v>46324</v>
      </c>
      <c r="F14" s="20" t="inlineStr">
        <is>
          <t>Open README</t>
        </is>
      </c>
      <c r="G14" s="20" t="inlineStr">
        <is>
          <t>Watch video</t>
        </is>
      </c>
      <c r="H14" s="25" t="inlineStr">
        <is>
          <t>• R + C in series in a DC circuit = time delay (τ = RC, ≈ 5τ to full)
• Capacitor charged directly → delayed OFF; resistor before capacitor → delayed ON; series capacitor → self-turn-off pulse
• Diodes (n × 0.7 V) or Zener (V_Z + 0.7 V) set a fixed threshold the capacitor must reach
• Staircase-light timer (capacitor holds transistor + relay on)
• Blocking diode forces the capacitor to discharge only into the transistor base
• Delay stops the fan flickering on/off when it cools its own sensor</t>
        </is>
      </c>
      <c r="I14" s="25" t="inlineStr">
        <is>
          <t>1. Staircase-light timer: 9 V, switch → capacitor → NPN → relay → 220 V lamp (video sim)
2. 12 V fan, NPN→PNP high-side driver, 470 µF delayed off (hardware)
3. Divider + 5.1 V Zener delayed on (≈ 4 s start delay, hardware)
4. Thermistor fan controller + 470 µF + blocking diode (delayed fan turn-off)</t>
        </is>
      </c>
      <c r="J14" s="25" t="inlineStr">
        <is>
          <t>τ = R·C
V_C(t) = V_s(1 − e^(−t/RC)); V_C(t) = V_0·e^(−t/RC)
Threshold = n × 0.7 V (diodes) or V_Z + 0.7 V (5.1 + 0.7 = 5.8 V)
My sim: τ = 10 kΩ × 470 µF = 4.7 s (with diode); ≈ (1 kΩ ∥ 10 kΩ) × 500 µF ≈ 0.45 s (no diode)</t>
        </is>
      </c>
      <c r="K14" s="25" t="inlineStr">
        <is>
          <t>BD140 (PNP), NPN driver, 470 µF timing capacitor, 10 kΩ base resistor, 1 kΩ, LED + 220 Ω, silicon blocking diode, NTC thermistor + 220 Ω (hardware) / 33 kΩ NTC + 1 kΩ (my sim), 5.1 V Zener (variation)</t>
        </is>
      </c>
      <c r="L14" s="25" t="inlineStr">
        <is>
          <t>• With diode (470 µF): fan on in &lt; 1 s; after cooling, V_CE(Q2) climbs 8.23 → 11.46 V, LED off after ≈ 13 s, fan settled ≈ 16 s ✔ (est. ≈ 10.5 s from τ = 4.7 s)
• Without diode (500 µF): off within ≈ 1 s ✔ (τ ≈ 0.45 s)
• ✘ PNP not saturated when hot: V_CE 7.7–8.2 V, fan gets only ≈ 4 V (driver starved: ≈ 0.1 mA base vs ≈ 45 mA LED branch)</t>
        </is>
      </c>
      <c r="M14" s="25" t="inlineStr">
        <is>
          <t>Video sim: 100 µF → no delay, 1000 µF without diode → ≈ 1 s; with diode → much longer
Hardware: fan keeps running after heat removed until cap empties ✔; without capacitor the fan flickers on/off even with heat present
Zener variation: ≈ 4 s start delay, stops almost at once</t>
        </is>
      </c>
      <c r="N14" s="25" t="inlineStr">
        <is>
          <t>2 simulation GIFs + MP4s: fan delay with blocking diode, fan delay without diode</t>
        </is>
      </c>
      <c r="O14" s="25" t="inlineStr">
        <is>
          <t>Adding a capacitor is not enough: check where it discharges. A blocking diode makes the charge go only into the transistor base, so the fan turns on fast but turns off slowly, which also stops it flickering.</t>
        </is>
      </c>
      <c r="P14" s="25" t="inlineStr">
        <is>
          <t>Sim used Circuit Wizard 33 kΩ NTC with 1 kΩ bottom resistor (video: ≈ 8 kΩ NTC + 220 Ω). To do: raise LED resistor to ≈ 2.2 kΩ so Q1/Q2 saturate; try 1000 µF / 22 kΩ; build the Zener delayed-on variation.</t>
        </is>
      </c>
    </row>
    <row r="15" ht="165" customHeight="1" s="21">
      <c r="A15" s="25" t="inlineStr">
        <is>
          <t>Professional Electronic Design Course</t>
        </is>
      </c>
      <c r="B15" s="26" t="n">
        <v>13</v>
      </c>
      <c r="C15" s="25" t="inlineStr">
        <is>
          <t>Designing a useless machine motor circuit</t>
        </is>
      </c>
      <c r="D15" s="27" t="inlineStr">
        <is>
          <t>Done</t>
        </is>
      </c>
      <c r="E15" s="28" t="n">
        <v>46325</v>
      </c>
      <c r="F15" s="20" t="inlineStr">
        <is>
          <t>Open README</t>
        </is>
      </c>
      <c r="G15" s="20" t="inlineStr">
        <is>
          <t>Watch video</t>
        </is>
      </c>
      <c r="H15" s="25" t="inlineStr">
        <is>
          <t>• Ground = the point the designer calls 0 V; all ground symbols are one node
• Voltage of a node depends on the reference (3 / 6 / 9 / 12 V on a 4-resistor divider)
• Zener + transistor branch needs the tap ≈ V_Z + 0.7 V above the emitter
• Two batteries in series, midpoint grounded → ± supply (capacitor split fails under load)
• Complementary NPN/PNP pair steers +V or −V to a motor → direction control
• NC limit switch in the −V (return) line stops the motor at home</t>
        </is>
      </c>
      <c r="I15" s="25" t="inlineStr">
        <is>
          <t>1. 4 × 1 kΩ divider on 12 V, voltmeter reference moved (my sim)
2. Divider tap → Zener → NPN → LED, ground position moved (video + my sim)
3. ± supply: two batteries vs. two capacitors (video sim)
4. Useless machine: ± supply, SPDT switch, 1 kΩ → BC547/BD140 pair, motor, direction LEDs, NC limit switch</t>
        </is>
      </c>
      <c r="J15" s="25" t="inlineStr">
        <is>
          <t>V_R = 12 V / 4 = 3 V each
V_on ≈ V_Z + V_BE (+ I_B·R_B)
V_th = V·R_bottom/(R_top+R_bottom), R_th = R_top ∥ R_bottom
V_motor ≈ ±(V_s − 0.7 V)
I_LED ≈ (8.3 − 2) / 220 ≈ 29 mA</t>
        </is>
      </c>
      <c r="K15" s="25" t="inlineStr">
        <is>
          <t>BC547 (NPN), BD140 (PNP), 1 kΩ base resistor, 2 batteries (± supply), small 5 V motor + 3 × 100 Ω ∥ series dropper, ON-ON toggle (SPDT), lever micro switch (COM + NC), red + green LEDs with resistors. My sim: ±9 V, 220 Ω LED resistors, 1N751 5.1 V Zener</t>
        </is>
      </c>
      <c r="L15" s="25" t="inlineStr">
        <is>
          <t>• Voltmeter on divider: 3.00 / 12.00 / 9.00 / 6.00 V ✔ (exactly 3 V per resistor)
• Zener LED branch: on with tap 9 V above ground (tap loaded to 7.66 V, I_B ≈ 1.79 mA → V_Z ≈ 5.2 V); off at 3 V and 6 V (needs ≈ 5.8 V, R_th ≈ 667 Ω); on again with D1 moved to top rail
• Useless machine (±9 V): SW1 up → D1 + forward ✔; down → D2 + reverse ✔; SW2 open → stop ✔</t>
        </is>
      </c>
      <c r="M15" s="25" t="inlineStr">
        <is>
          <t>Video sim: tap 3 V → LED off, 6 V → on (3.9 V Zener); with 1.5 V battery in emitter path, 6 V → off, 9 V → on. Capacitor split: ±6 V unloaded, collapses to 0 / −12 V with a 1 kΩ load.
Hardware: press → red (arm flips switch off) → green (returns) → off at home; works even if re-pressed halfway.</t>
        </is>
      </c>
      <c r="N15" s="25" t="inlineStr">
        <is>
          <t>3 simulation GIFs + MP4s: ground reference divider, ground position vs. Zener LED, useless machine with limit switch</t>
        </is>
      </c>
      <c r="O15" s="25" t="inlineStr">
        <is>
          <t>Ground is only a reference I choose. A complementary pair lets one signal choose + or − for a motor, and one normally closed switch in the right line (the −V return path only) turns it into a useless machine that stops itself.</t>
        </is>
      </c>
      <c r="P15" s="25" t="inlineStr">
        <is>
          <t>Video link: only the playlist is linked; replace with the direct ep13 URL. No .cwz files sent yet. To do: save circuits as .cwz, measure motor voltage, LED resistors → 330 Ω, try 3.9 V Zener in sim 2, simulate capacitor split.</t>
        </is>
      </c>
    </row>
    <row r="16" ht="30" customHeight="1" s="21">
      <c r="A16" s="25" t="inlineStr">
        <is>
          <t>Professional Electronic Design Course</t>
        </is>
      </c>
      <c r="B16" s="26" t="n">
        <v>14</v>
      </c>
      <c r="C16" s="25" t="inlineStr">
        <is>
          <t>Designing a secret-code circuit without programming</t>
        </is>
      </c>
      <c r="D16" s="26" t="inlineStr">
        <is>
          <t>Not started</t>
        </is>
      </c>
      <c r="E16" s="28" t="n"/>
      <c r="F16" s="40" t="n"/>
      <c r="G16" s="40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</row>
    <row r="17" ht="30" customHeight="1" s="21">
      <c r="A17" s="25" t="inlineStr">
        <is>
          <t>Professional Electronic Design Course</t>
        </is>
      </c>
      <c r="B17" s="26" t="n">
        <v>15</v>
      </c>
      <c r="C17" s="25" t="inlineStr">
        <is>
          <t>Designing an interactive smart board for schools without programming</t>
        </is>
      </c>
      <c r="D17" s="26" t="inlineStr">
        <is>
          <t>Not started</t>
        </is>
      </c>
      <c r="E17" s="28" t="n"/>
      <c r="F17" s="40" t="n"/>
      <c r="G17" s="40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 ht="30" customHeight="1" s="21">
      <c r="A18" s="25" t="inlineStr">
        <is>
          <t>Professional Electronic Design Course</t>
        </is>
      </c>
      <c r="B18" s="26" t="n">
        <v>16</v>
      </c>
      <c r="C18" s="25" t="inlineStr">
        <is>
          <t>Designing a joystick circuit that controls a motor for a toy factory</t>
        </is>
      </c>
      <c r="D18" s="26" t="inlineStr">
        <is>
          <t>Not started</t>
        </is>
      </c>
      <c r="E18" s="28" t="n"/>
      <c r="F18" s="40" t="n"/>
      <c r="G18" s="40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 ht="30" customHeight="1" s="21">
      <c r="A19" s="25" t="inlineStr">
        <is>
          <t>Professional Electronic Design Course</t>
        </is>
      </c>
      <c r="B19" s="26" t="n">
        <v>17</v>
      </c>
      <c r="C19" s="25" t="inlineStr">
        <is>
          <t>Designing a one-press electric drill circuit with a relay</t>
        </is>
      </c>
      <c r="D19" s="26" t="inlineStr">
        <is>
          <t>Not started</t>
        </is>
      </c>
      <c r="E19" s="28" t="n"/>
      <c r="F19" s="40" t="n"/>
      <c r="G19" s="40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</row>
    <row r="20" ht="30" customHeight="1" s="21">
      <c r="A20" s="25" t="inlineStr">
        <is>
          <t>Professional Electronic Design Course</t>
        </is>
      </c>
      <c r="B20" s="26" t="n">
        <v>18</v>
      </c>
      <c r="C20" s="25" t="inlineStr">
        <is>
          <t>Designing a transistor latch circuit with a delay that avoids many problems</t>
        </is>
      </c>
      <c r="D20" s="26" t="inlineStr">
        <is>
          <t>Not started</t>
        </is>
      </c>
      <c r="E20" s="28" t="n"/>
      <c r="F20" s="40" t="n"/>
      <c r="G20" s="40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1" ht="30" customHeight="1" s="21">
      <c r="A21" s="25" t="inlineStr">
        <is>
          <t>Professional Electronic Design Course</t>
        </is>
      </c>
      <c r="B21" s="26" t="n">
        <v>19</v>
      </c>
      <c r="C21" s="25" t="inlineStr">
        <is>
          <t>Designing a smart circuit for a mailbox in front of the house</t>
        </is>
      </c>
      <c r="D21" s="26" t="inlineStr">
        <is>
          <t>Not started</t>
        </is>
      </c>
      <c r="E21" s="28" t="n"/>
      <c r="F21" s="40" t="n"/>
      <c r="G21" s="40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</row>
    <row r="22" ht="30" customHeight="1" s="21">
      <c r="A22" s="25" t="inlineStr">
        <is>
          <t>Professional Electronic Design Course</t>
        </is>
      </c>
      <c r="B22" s="26" t="n">
        <v>20</v>
      </c>
      <c r="C22" s="25" t="inlineStr">
        <is>
          <t>Designing a one-press circuit: problems and solutions</t>
        </is>
      </c>
      <c r="D22" s="26" t="inlineStr">
        <is>
          <t>Not started</t>
        </is>
      </c>
      <c r="E22" s="28" t="n"/>
      <c r="F22" s="40" t="n"/>
      <c r="G22" s="40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</row>
    <row r="23" ht="30" customHeight="1" s="21">
      <c r="A23" s="25" t="inlineStr">
        <is>
          <t>Professional Electronic Design Course</t>
        </is>
      </c>
      <c r="B23" s="26" t="n">
        <v>21</v>
      </c>
      <c r="C23" s="25" t="inlineStr">
        <is>
          <t>Analysing three transistor circuits to learn from them</t>
        </is>
      </c>
      <c r="D23" s="26" t="inlineStr">
        <is>
          <t>Not started</t>
        </is>
      </c>
      <c r="E23" s="28" t="n"/>
      <c r="F23" s="40" t="n"/>
      <c r="G23" s="40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 ht="30" customHeight="1" s="21">
      <c r="A24" s="25" t="inlineStr">
        <is>
          <t>Professional Electronic Design Course</t>
        </is>
      </c>
      <c r="B24" s="26" t="n">
        <v>22</v>
      </c>
      <c r="C24" s="25" t="inlineStr">
        <is>
          <t>The flip-flop capacitor as an oscillator, and designing a status indicator</t>
        </is>
      </c>
      <c r="D24" s="26" t="inlineStr">
        <is>
          <t>Not started</t>
        </is>
      </c>
      <c r="E24" s="28" t="n"/>
      <c r="F24" s="40" t="n"/>
      <c r="G24" s="40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 ht="30" customHeight="1" s="21">
      <c r="A25" s="25" t="inlineStr">
        <is>
          <t>Professional Electronic Design Course</t>
        </is>
      </c>
      <c r="B25" s="26" t="n">
        <v>23</v>
      </c>
      <c r="C25" s="25" t="inlineStr">
        <is>
          <t>Designing a random-selection circuit using the oscillator</t>
        </is>
      </c>
      <c r="D25" s="26" t="inlineStr">
        <is>
          <t>Not started</t>
        </is>
      </c>
      <c r="E25" s="28" t="n"/>
      <c r="F25" s="40" t="n"/>
      <c r="G25" s="40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 ht="30" customHeight="1" s="21">
      <c r="A26" s="25" t="inlineStr">
        <is>
          <t>Professional Electronic Design Course</t>
        </is>
      </c>
      <c r="B26" s="26" t="n">
        <v>24</v>
      </c>
      <c r="C26" s="25" t="inlineStr">
        <is>
          <t>Designing a boost circuit for an efficient torch with a small battery</t>
        </is>
      </c>
      <c r="D26" s="26" t="inlineStr">
        <is>
          <t>Not started</t>
        </is>
      </c>
      <c r="E26" s="28" t="n"/>
      <c r="F26" s="40" t="n"/>
      <c r="G26" s="40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 ht="30" customHeight="1" s="21">
      <c r="A27" s="25" t="inlineStr">
        <is>
          <t>Professional Electronic Design Course</t>
        </is>
      </c>
      <c r="B27" s="26" t="n">
        <v>25</v>
      </c>
      <c r="C27" s="25" t="inlineStr">
        <is>
          <t>Designing a sequential oscillator circuit for decorative lights</t>
        </is>
      </c>
      <c r="D27" s="26" t="inlineStr">
        <is>
          <t>Not started</t>
        </is>
      </c>
      <c r="E27" s="28" t="n"/>
      <c r="F27" s="40" t="n"/>
      <c r="G27" s="40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</row>
    <row r="28" ht="30" customHeight="1" s="21">
      <c r="A28" s="25" t="inlineStr">
        <is>
          <t>Professional Electronic Design Course</t>
        </is>
      </c>
      <c r="B28" s="26" t="n">
        <v>26</v>
      </c>
      <c r="C28" s="25" t="inlineStr">
        <is>
          <t>Introduction to Level 3 and its work plan</t>
        </is>
      </c>
      <c r="D28" s="26" t="inlineStr">
        <is>
          <t>Not started</t>
        </is>
      </c>
      <c r="E28" s="28" t="n"/>
      <c r="F28" s="40" t="n"/>
      <c r="G28" s="40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</row>
    <row r="29" ht="30" customHeight="1" s="21">
      <c r="A29" s="25" t="inlineStr">
        <is>
          <t>Professional Electronic Design Course</t>
        </is>
      </c>
      <c r="B29" s="26" t="n">
        <v>27</v>
      </c>
      <c r="C29" s="25" t="inlineStr">
        <is>
          <t>The emitter follower and its special circuits</t>
        </is>
      </c>
      <c r="D29" s="26" t="inlineStr">
        <is>
          <t>Not started</t>
        </is>
      </c>
      <c r="E29" s="28" t="n"/>
      <c r="F29" s="40" t="n"/>
      <c r="G29" s="40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</row>
    <row r="30" ht="30" customHeight="1" s="21">
      <c r="A30" s="25" t="inlineStr">
        <is>
          <t>Professional Electronic Design Course</t>
        </is>
      </c>
      <c r="B30" s="26" t="n">
        <v>28</v>
      </c>
      <c r="C30" s="25" t="inlineStr">
        <is>
          <t>Designs for a conventional power supply with current limiters</t>
        </is>
      </c>
      <c r="D30" s="26" t="inlineStr">
        <is>
          <t>Not started</t>
        </is>
      </c>
      <c r="E30" s="28" t="n"/>
      <c r="F30" s="40" t="n"/>
      <c r="G30" s="40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</row>
    <row r="31" ht="30" customHeight="1" s="21">
      <c r="A31" s="25" t="inlineStr">
        <is>
          <t>Professional Electronic Design Course</t>
        </is>
      </c>
      <c r="B31" s="26" t="n">
        <v>29</v>
      </c>
      <c r="C31" s="25" t="inlineStr">
        <is>
          <t>Unusual uses of the transistor</t>
        </is>
      </c>
      <c r="D31" s="26" t="inlineStr">
        <is>
          <t>Not started</t>
        </is>
      </c>
      <c r="E31" s="28" t="n"/>
      <c r="F31" s="40" t="n"/>
      <c r="G31" s="40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 ht="30" customHeight="1" s="21">
      <c r="A32" s="25" t="inlineStr">
        <is>
          <t>Professional Electronic Design Course</t>
        </is>
      </c>
      <c r="B32" s="26" t="n">
        <v>30</v>
      </c>
      <c r="C32" s="25" t="inlineStr">
        <is>
          <t>Window (range) circuits and designing heater and temperature control circuits</t>
        </is>
      </c>
      <c r="D32" s="26" t="inlineStr">
        <is>
          <t>Not started</t>
        </is>
      </c>
      <c r="E32" s="28" t="n"/>
      <c r="F32" s="40" t="n"/>
      <c r="G32" s="40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 ht="30" customHeight="1" s="21">
      <c r="A33" s="25" t="inlineStr">
        <is>
          <t>Professional Electronic Design Course</t>
        </is>
      </c>
      <c r="B33" s="26" t="n">
        <v>31</v>
      </c>
      <c r="C33" s="25" t="inlineStr">
        <is>
          <t>Short pulse generator: why?</t>
        </is>
      </c>
      <c r="D33" s="26" t="inlineStr">
        <is>
          <t>Not started</t>
        </is>
      </c>
      <c r="E33" s="28" t="n"/>
      <c r="F33" s="40" t="n"/>
      <c r="G33" s="40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 ht="30" customHeight="1" s="21">
      <c r="A34" s="25" t="inlineStr">
        <is>
          <t>Professional Electronic Design Course</t>
        </is>
      </c>
      <c r="B34" s="26" t="n">
        <v>32</v>
      </c>
      <c r="C34" s="25" t="inlineStr">
        <is>
          <t>Running on a constant current (constant current source)</t>
        </is>
      </c>
      <c r="D34" s="26" t="inlineStr">
        <is>
          <t>Not started</t>
        </is>
      </c>
      <c r="E34" s="28" t="n"/>
      <c r="F34" s="40" t="n"/>
      <c r="G34" s="40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</row>
    <row r="35" ht="30" customHeight="1" s="21">
      <c r="A35" s="25" t="inlineStr">
        <is>
          <t>Professional Electronic Design Course</t>
        </is>
      </c>
      <c r="B35" s="26" t="n">
        <v>33</v>
      </c>
      <c r="C35" s="25" t="inlineStr">
        <is>
          <t>Designing current mirrors and circuits without resistors</t>
        </is>
      </c>
      <c r="D35" s="26" t="inlineStr">
        <is>
          <t>Not started</t>
        </is>
      </c>
      <c r="E35" s="28" t="n"/>
      <c r="F35" s="40" t="n"/>
      <c r="G35" s="40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</row>
    <row r="36" ht="30" customHeight="1" s="21">
      <c r="A36" s="25" t="inlineStr">
        <is>
          <t>Professional Electronic Design Course</t>
        </is>
      </c>
      <c r="B36" s="26" t="n">
        <v>34</v>
      </c>
      <c r="C36" s="25" t="inlineStr">
        <is>
          <t>The differential amplifier and why it is so popular</t>
        </is>
      </c>
      <c r="D36" s="26" t="inlineStr">
        <is>
          <t>Not started</t>
        </is>
      </c>
      <c r="E36" s="28" t="n"/>
      <c r="F36" s="40" t="n"/>
      <c r="G36" s="40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</row>
    <row r="37" ht="30" customHeight="1" s="21">
      <c r="A37" s="25" t="inlineStr">
        <is>
          <t>Professional Electronic Design Course</t>
        </is>
      </c>
      <c r="B37" s="26" t="n">
        <v>35</v>
      </c>
      <c r="C37" s="25" t="inlineStr">
        <is>
          <t>Advanced amplifier topics (bootstrap, Miller effect, cascode)</t>
        </is>
      </c>
      <c r="D37" s="26" t="inlineStr">
        <is>
          <t>Not started</t>
        </is>
      </c>
      <c r="E37" s="28" t="n"/>
      <c r="F37" s="40" t="n"/>
      <c r="G37" s="40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</row>
    <row r="38" ht="30" customHeight="1" s="21">
      <c r="A38" s="25" t="inlineStr">
        <is>
          <t>Professional Electronic Design Course</t>
        </is>
      </c>
      <c r="B38" s="26" t="n">
        <v>36</v>
      </c>
      <c r="C38" s="25" t="inlineStr">
        <is>
          <t>Oscillators (Hartley, Colpitts, crystal) with a practical experiment</t>
        </is>
      </c>
      <c r="D38" s="26" t="inlineStr">
        <is>
          <t>Not started</t>
        </is>
      </c>
      <c r="E38" s="28" t="n"/>
      <c r="F38" s="40" t="n"/>
      <c r="G38" s="40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 ht="30" customHeight="1" s="21">
      <c r="A39" s="25" t="inlineStr">
        <is>
          <t>Professional Electronic Design Course</t>
        </is>
      </c>
      <c r="B39" s="26" t="n">
        <v>37</v>
      </c>
      <c r="C39" s="25" t="inlineStr">
        <is>
          <t>Sending a wireless signal remotely (the simplest circuit)</t>
        </is>
      </c>
      <c r="D39" s="26" t="inlineStr">
        <is>
          <t>Not started</t>
        </is>
      </c>
      <c r="E39" s="28" t="n"/>
      <c r="F39" s="40" t="n"/>
      <c r="G39" s="40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 ht="30" customHeight="1" s="21">
      <c r="A40" s="25" t="inlineStr">
        <is>
          <t>Professional Electronic Design Course</t>
        </is>
      </c>
      <c r="B40" s="26" t="n">
        <v>38</v>
      </c>
      <c r="C40" s="25" t="inlineStr">
        <is>
          <t>What's inside the 555 timer</t>
        </is>
      </c>
      <c r="D40" s="26" t="inlineStr">
        <is>
          <t>Not started</t>
        </is>
      </c>
      <c r="E40" s="28" t="n"/>
      <c r="F40" s="40" t="n"/>
      <c r="G40" s="40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 ht="30" customHeight="1" s="21">
      <c r="A41" s="25" t="inlineStr">
        <is>
          <t>Professional Electronic Design Course</t>
        </is>
      </c>
      <c r="B41" s="26" t="n">
        <v>39</v>
      </c>
      <c r="C41" s="25" t="inlineStr">
        <is>
          <t>A broader understanding of the 555 timer, with an interactive circuit design</t>
        </is>
      </c>
      <c r="D41" s="26" t="inlineStr">
        <is>
          <t>Not started</t>
        </is>
      </c>
      <c r="E41" s="28" t="n"/>
      <c r="F41" s="40" t="n"/>
      <c r="G41" s="40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 ht="30" customHeight="1" s="21">
      <c r="A42" s="25" t="inlineStr">
        <is>
          <t>Professional Electronic Design Course</t>
        </is>
      </c>
      <c r="B42" s="26" t="n">
        <v>40</v>
      </c>
      <c r="C42" s="25" t="inlineStr">
        <is>
          <t>Marketable 555 timer applications</t>
        </is>
      </c>
      <c r="D42" s="26" t="inlineStr">
        <is>
          <t>Not started</t>
        </is>
      </c>
      <c r="E42" s="28" t="n"/>
      <c r="F42" s="40" t="n"/>
      <c r="G42" s="40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 ht="30" customHeight="1" s="21">
      <c r="A43" s="25" t="inlineStr">
        <is>
          <t>Professional Electronic Design Course</t>
        </is>
      </c>
      <c r="B43" s="26" t="n">
        <v>41</v>
      </c>
      <c r="C43" s="25" t="inlineStr">
        <is>
          <t>Designing a sequential-function circuit for a factory with the 555</t>
        </is>
      </c>
      <c r="D43" s="26" t="inlineStr">
        <is>
          <t>Not started</t>
        </is>
      </c>
      <c r="E43" s="28" t="n"/>
      <c r="F43" s="40" t="n"/>
      <c r="G43" s="40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</row>
    <row r="44" ht="30" customHeight="1" s="21">
      <c r="A44" s="25" t="inlineStr">
        <is>
          <t>Professional Electronic Design Course</t>
        </is>
      </c>
      <c r="B44" s="26" t="n">
        <v>42</v>
      </c>
      <c r="C44" s="25" t="inlineStr">
        <is>
          <t>Designing a driver-assist circuit for a car factory</t>
        </is>
      </c>
      <c r="D44" s="26" t="inlineStr">
        <is>
          <t>Not started</t>
        </is>
      </c>
      <c r="E44" s="28" t="n"/>
      <c r="F44" s="40" t="n"/>
      <c r="G44" s="40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</row>
    <row r="45" ht="30" customHeight="1" s="21">
      <c r="A45" s="25" t="inlineStr">
        <is>
          <t>Professional Electronic Design Course</t>
        </is>
      </c>
      <c r="B45" s="26" t="n">
        <v>43</v>
      </c>
      <c r="C45" s="25" t="inlineStr">
        <is>
          <t>How to make use of the CD4017</t>
        </is>
      </c>
      <c r="D45" s="26" t="inlineStr">
        <is>
          <t>Not started</t>
        </is>
      </c>
      <c r="E45" s="28" t="n"/>
      <c r="F45" s="40" t="n"/>
      <c r="G45" s="40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</row>
    <row r="46" ht="30" customHeight="1" s="21">
      <c r="A46" s="25" t="inlineStr">
        <is>
          <t>Professional Electronic Design Course</t>
        </is>
      </c>
      <c r="B46" s="26" t="n">
        <v>44</v>
      </c>
      <c r="C46" s="25" t="inlineStr">
        <is>
          <t>Designing a multi-timer circuit that splits time between different tasks</t>
        </is>
      </c>
      <c r="D46" s="26" t="inlineStr">
        <is>
          <t>Not started</t>
        </is>
      </c>
      <c r="E46" s="28" t="n"/>
      <c r="F46" s="40" t="n"/>
      <c r="G46" s="40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</row>
    <row r="47" ht="30" customHeight="1" s="21">
      <c r="A47" s="25" t="inlineStr">
        <is>
          <t>Professional Electronic Design Course</t>
        </is>
      </c>
      <c r="B47" s="26" t="n">
        <v>45</v>
      </c>
      <c r="C47" s="25" t="inlineStr">
        <is>
          <t>The queen of sequential events, and designing a circuit for a food factory</t>
        </is>
      </c>
      <c r="D47" s="26" t="inlineStr">
        <is>
          <t>Not started</t>
        </is>
      </c>
      <c r="E47" s="28" t="n"/>
      <c r="F47" s="40" t="n"/>
      <c r="G47" s="40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 ht="30" customHeight="1" s="21">
      <c r="A48" s="25" t="inlineStr">
        <is>
          <t>Professional Electronic Design Course</t>
        </is>
      </c>
      <c r="B48" s="26" t="n">
        <v>46</v>
      </c>
      <c r="C48" s="25" t="inlineStr">
        <is>
          <t>Designing an efficient traffic light circuit without programming</t>
        </is>
      </c>
      <c r="D48" s="26" t="inlineStr">
        <is>
          <t>Not started</t>
        </is>
      </c>
      <c r="E48" s="28" t="n"/>
      <c r="F48" s="40" t="n"/>
      <c r="G48" s="40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49" ht="30" customHeight="1" s="21">
      <c r="A49" s="25" t="inlineStr">
        <is>
          <t>Professional Electronic Design Course</t>
        </is>
      </c>
      <c r="B49" s="26" t="n">
        <v>47</v>
      </c>
      <c r="C49" s="25" t="inlineStr">
        <is>
          <t>Designing an interactive clap switch to turn a device on and off</t>
        </is>
      </c>
      <c r="D49" s="26" t="inlineStr">
        <is>
          <t>Not started</t>
        </is>
      </c>
      <c r="E49" s="28" t="n"/>
      <c r="F49" s="40" t="n"/>
      <c r="G49" s="40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</row>
    <row r="50" ht="30" customHeight="1" s="21">
      <c r="A50" s="25" t="inlineStr">
        <is>
          <t>Professional Electronic Design Course</t>
        </is>
      </c>
      <c r="B50" s="26" t="n">
        <v>48</v>
      </c>
      <c r="C50" s="25" t="inlineStr">
        <is>
          <t>Designing an interactive circuit to control light brightness with a single switch</t>
        </is>
      </c>
      <c r="D50" s="26" t="inlineStr">
        <is>
          <t>Not started</t>
        </is>
      </c>
      <c r="E50" s="28" t="n"/>
      <c r="F50" s="40" t="n"/>
      <c r="G50" s="40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</row>
    <row r="51" ht="30" customHeight="1" s="21">
      <c r="A51" s="25" t="inlineStr">
        <is>
          <t>Professional Electronic Design Course</t>
        </is>
      </c>
      <c r="B51" s="26" t="n">
        <v>49</v>
      </c>
      <c r="C51" s="25" t="inlineStr">
        <is>
          <t>Designing a simple electronic lock circuit without programming</t>
        </is>
      </c>
      <c r="D51" s="26" t="inlineStr">
        <is>
          <t>Not started</t>
        </is>
      </c>
      <c r="E51" s="28" t="n"/>
      <c r="F51" s="40" t="n"/>
      <c r="G51" s="40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</row>
    <row r="52" ht="30" customHeight="1" s="21">
      <c r="A52" s="25" t="inlineStr">
        <is>
          <t>Professional Electronic Design Course</t>
        </is>
      </c>
      <c r="B52" s="26" t="n">
        <v>50</v>
      </c>
      <c r="C52" s="25" t="inlineStr">
        <is>
          <t>Designing a circuit to control several devices remotely</t>
        </is>
      </c>
      <c r="D52" s="26" t="inlineStr">
        <is>
          <t>Not started</t>
        </is>
      </c>
      <c r="E52" s="28" t="n"/>
      <c r="F52" s="40" t="n"/>
      <c r="G52" s="40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</row>
    <row r="53" ht="30" customHeight="1" s="21">
      <c r="A53" s="25" t="inlineStr">
        <is>
          <t>Professional Electronic Design Course</t>
        </is>
      </c>
      <c r="B53" s="26" t="n">
        <v>51</v>
      </c>
      <c r="C53" s="25" t="inlineStr">
        <is>
          <t>Explaining various circuits that use the simplest components for many tasks</t>
        </is>
      </c>
      <c r="D53" s="26" t="inlineStr">
        <is>
          <t>Not started</t>
        </is>
      </c>
      <c r="E53" s="28" t="n"/>
      <c r="F53" s="40" t="n"/>
      <c r="G53" s="40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</row>
    <row r="54" ht="30" customHeight="1" s="21">
      <c r="A54" s="25" t="inlineStr">
        <is>
          <t>Professional Electronic Design Course</t>
        </is>
      </c>
      <c r="B54" s="26" t="n">
        <v>52</v>
      </c>
      <c r="C54" s="25" t="inlineStr">
        <is>
          <t>Introduction to Level 5: the purpose of these circuits and block-diagram design</t>
        </is>
      </c>
      <c r="D54" s="26" t="inlineStr">
        <is>
          <t>Not started</t>
        </is>
      </c>
      <c r="E54" s="28" t="n"/>
      <c r="F54" s="40" t="n"/>
      <c r="G54" s="40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</row>
    <row r="55" ht="30" customHeight="1" s="21">
      <c r="A55" s="25" t="inlineStr">
        <is>
          <t>Professional Electronic Design Course</t>
        </is>
      </c>
      <c r="B55" s="26" t="n">
        <v>53</v>
      </c>
      <c r="C55" s="25" t="inlineStr">
        <is>
          <t>Information sources used by professionals, and getting schematics</t>
        </is>
      </c>
      <c r="D55" s="26" t="inlineStr">
        <is>
          <t>Not started</t>
        </is>
      </c>
      <c r="E55" s="28" t="n"/>
      <c r="F55" s="40" t="n"/>
      <c r="G55" s="40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</row>
    <row r="56" ht="30" customHeight="1" s="21">
      <c r="A56" s="25" t="inlineStr">
        <is>
          <t>Professional Electronic Design Course</t>
        </is>
      </c>
      <c r="B56" s="26" t="n">
        <v>54</v>
      </c>
      <c r="C56" s="25" t="inlineStr">
        <is>
          <t>Information sources and how to choose ICs for specific functions</t>
        </is>
      </c>
      <c r="D56" s="26" t="inlineStr">
        <is>
          <t>Not started</t>
        </is>
      </c>
      <c r="E56" s="28" t="n"/>
      <c r="F56" s="40" t="n"/>
      <c r="G56" s="40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</row>
    <row r="57" ht="30" customHeight="1" s="21">
      <c r="A57" s="25" t="inlineStr">
        <is>
          <t>Professional Electronic Design Course</t>
        </is>
      </c>
      <c r="B57" s="26" t="n">
        <v>55</v>
      </c>
      <c r="C57" s="25" t="inlineStr">
        <is>
          <t>Information from other varied sources</t>
        </is>
      </c>
      <c r="D57" s="26" t="inlineStr">
        <is>
          <t>Not started</t>
        </is>
      </c>
      <c r="E57" s="28" t="n"/>
      <c r="F57" s="40" t="n"/>
      <c r="G57" s="40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</row>
    <row r="58" ht="30" customHeight="1" s="21">
      <c r="A58" s="25" t="inlineStr">
        <is>
          <t>Professional Electronic Design Course</t>
        </is>
      </c>
      <c r="B58" s="26" t="n">
        <v>56</v>
      </c>
      <c r="C58" s="25" t="inlineStr">
        <is>
          <t>Designing a lithium battery charger circuit with dedicated ICs</t>
        </is>
      </c>
      <c r="D58" s="26" t="inlineStr">
        <is>
          <t>Not started</t>
        </is>
      </c>
      <c r="E58" s="28" t="n"/>
      <c r="F58" s="40" t="n"/>
      <c r="G58" s="40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</row>
    <row r="59" ht="30" customHeight="1" s="21">
      <c r="A59" s="25" t="inlineStr">
        <is>
          <t>Professional Electronic Design Course</t>
        </is>
      </c>
      <c r="B59" s="26" t="n">
        <v>57</v>
      </c>
      <c r="C59" s="25" t="inlineStr">
        <is>
          <t>Developing a professional, competitive high-voltage probe</t>
        </is>
      </c>
      <c r="D59" s="26" t="inlineStr">
        <is>
          <t>Not started</t>
        </is>
      </c>
      <c r="E59" s="28" t="n"/>
      <c r="F59" s="40" t="n"/>
      <c r="G59" s="40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</row>
    <row r="60" ht="30" customHeight="1" s="21">
      <c r="A60" s="25" t="inlineStr">
        <is>
          <t>Professional Electronic Design Course</t>
        </is>
      </c>
      <c r="B60" s="26" t="n">
        <v>58</v>
      </c>
      <c r="C60" s="25" t="inlineStr">
        <is>
          <t>Developing a cheap, competitive light-intensity sensor</t>
        </is>
      </c>
      <c r="D60" s="26" t="inlineStr">
        <is>
          <t>Not started</t>
        </is>
      </c>
      <c r="E60" s="28" t="n"/>
      <c r="F60" s="40" t="n"/>
      <c r="G60" s="40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</row>
    <row r="61" ht="30" customHeight="1" s="21">
      <c r="A61" s="25" t="inlineStr">
        <is>
          <t>Professional Electronic Design Course</t>
        </is>
      </c>
      <c r="B61" s="26" t="n">
        <v>59</v>
      </c>
      <c r="C61" s="25" t="inlineStr">
        <is>
          <t>Analysing a market circuit: induction heating</t>
        </is>
      </c>
      <c r="D61" s="26" t="inlineStr">
        <is>
          <t>Not started</t>
        </is>
      </c>
      <c r="E61" s="28" t="n"/>
      <c r="F61" s="40" t="n"/>
      <c r="G61" s="40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</row>
    <row r="62" ht="30" customHeight="1" s="21">
      <c r="A62" s="25" t="inlineStr">
        <is>
          <t>Professional Electronic Design Course</t>
        </is>
      </c>
      <c r="B62" s="26" t="n">
        <v>60</v>
      </c>
      <c r="C62" s="25" t="inlineStr">
        <is>
          <t>Analysing a market circuit: high-frequency inverter</t>
        </is>
      </c>
      <c r="D62" s="26" t="inlineStr">
        <is>
          <t>Not started</t>
        </is>
      </c>
      <c r="E62" s="28" t="n"/>
      <c r="F62" s="40" t="n"/>
      <c r="G62" s="40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</row>
    <row r="63" ht="30" customHeight="1" s="21">
      <c r="A63" s="25" t="inlineStr">
        <is>
          <t>Professional Electronic Design Course</t>
        </is>
      </c>
      <c r="B63" s="26" t="n">
        <v>61</v>
      </c>
      <c r="C63" s="25" t="inlineStr">
        <is>
          <t>Analysing a market circuit: car inverter from the cigarette-lighter socket</t>
        </is>
      </c>
      <c r="D63" s="26" t="inlineStr">
        <is>
          <t>Not started</t>
        </is>
      </c>
      <c r="E63" s="28" t="n"/>
      <c r="F63" s="40" t="n"/>
      <c r="G63" s="40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</row>
    <row r="64" ht="30" customHeight="1" s="21">
      <c r="A64" s="25" t="inlineStr">
        <is>
          <t>Professional Electronic Design Course</t>
        </is>
      </c>
      <c r="B64" s="26" t="n">
        <v>62</v>
      </c>
      <c r="C64" s="25" t="inlineStr">
        <is>
          <t>Types of power converters</t>
        </is>
      </c>
      <c r="D64" s="26" t="inlineStr">
        <is>
          <t>Not started</t>
        </is>
      </c>
      <c r="E64" s="28" t="n"/>
      <c r="F64" s="40" t="n"/>
      <c r="G64" s="40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</row>
    <row r="65" ht="30" customHeight="1" s="21">
      <c r="A65" s="25" t="inlineStr">
        <is>
          <t>Professional Electronic Design Course</t>
        </is>
      </c>
      <c r="B65" s="26" t="n">
        <v>63</v>
      </c>
      <c r="C65" s="25" t="inlineStr">
        <is>
          <t>How the power inverter works</t>
        </is>
      </c>
      <c r="D65" s="26" t="inlineStr">
        <is>
          <t>Not started</t>
        </is>
      </c>
      <c r="E65" s="28" t="n"/>
      <c r="F65" s="40" t="n"/>
      <c r="G65" s="40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</row>
    <row r="66" ht="30" customHeight="1" s="21">
      <c r="A66" s="25" t="inlineStr">
        <is>
          <t>Professional Electronic Design Course</t>
        </is>
      </c>
      <c r="B66" s="26" t="n">
        <v>64</v>
      </c>
      <c r="C66" s="25" t="inlineStr">
        <is>
          <t>What is SPWM?</t>
        </is>
      </c>
      <c r="D66" s="26" t="inlineStr">
        <is>
          <t>Not started</t>
        </is>
      </c>
      <c r="E66" s="28" t="n"/>
      <c r="F66" s="40" t="n"/>
      <c r="G66" s="40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 ht="30" customHeight="1" s="21">
      <c r="A67" s="25" t="inlineStr">
        <is>
          <t>Professional Electronic Design Course</t>
        </is>
      </c>
      <c r="B67" s="26" t="n">
        <v>65</v>
      </c>
      <c r="C67" s="25" t="inlineStr">
        <is>
          <t>Developing a new frequency-detection circuit</t>
        </is>
      </c>
      <c r="D67" s="26" t="inlineStr">
        <is>
          <t>Not started</t>
        </is>
      </c>
      <c r="E67" s="28" t="n"/>
      <c r="F67" s="40" t="n"/>
      <c r="G67" s="40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 ht="30" customHeight="1" s="21">
      <c r="A68" s="25" t="inlineStr">
        <is>
          <t>Professional Electronic Design Course</t>
        </is>
      </c>
      <c r="B68" s="26" t="n">
        <v>66</v>
      </c>
      <c r="C68" s="25" t="inlineStr">
        <is>
          <t>Developing a new market circuit for temperature control with aluminium heat sinking</t>
        </is>
      </c>
      <c r="D68" s="26" t="inlineStr">
        <is>
          <t>Not started</t>
        </is>
      </c>
      <c r="E68" s="28" t="n"/>
      <c r="F68" s="40" t="n"/>
      <c r="G68" s="40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 ht="30" customHeight="1" s="21">
      <c r="A69" s="25" t="inlineStr">
        <is>
          <t>Professional Electronic Design Course</t>
        </is>
      </c>
      <c r="B69" s="26" t="n">
        <v>67</v>
      </c>
      <c r="C69" s="25" t="inlineStr">
        <is>
          <t>Introduction to the PCB course: what printed circuit boards are</t>
        </is>
      </c>
      <c r="D69" s="26" t="inlineStr">
        <is>
          <t>Not started</t>
        </is>
      </c>
      <c r="E69" s="28" t="n"/>
      <c r="F69" s="40" t="n"/>
      <c r="G69" s="40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 ht="30" customHeight="1" s="21">
      <c r="A70" s="25" t="inlineStr">
        <is>
          <t>Professional Electronic Design Course</t>
        </is>
      </c>
      <c r="B70" s="26" t="n">
        <v>68</v>
      </c>
      <c r="C70" s="25" t="inlineStr">
        <is>
          <t>Various practical examples of distinctive PCBs</t>
        </is>
      </c>
      <c r="D70" s="26" t="inlineStr">
        <is>
          <t>Not started</t>
        </is>
      </c>
      <c r="E70" s="28" t="n"/>
      <c r="F70" s="40" t="n"/>
      <c r="G70" s="40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 ht="30" customHeight="1" s="21">
      <c r="A71" s="25" t="inlineStr">
        <is>
          <t>Professional Electronic Design Course</t>
        </is>
      </c>
      <c r="B71" s="26" t="n">
        <v>69</v>
      </c>
      <c r="C71" s="25" t="inlineStr">
        <is>
          <t>PCB manufacturing processes by different methods, plus soldering</t>
        </is>
      </c>
      <c r="D71" s="26" t="inlineStr">
        <is>
          <t>Not started</t>
        </is>
      </c>
      <c r="E71" s="28" t="n"/>
      <c r="F71" s="40" t="n"/>
      <c r="G71" s="40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 ht="30" customHeight="1" s="21">
      <c r="A72" s="25" t="inlineStr">
        <is>
          <t>Professional Electronic Design Course</t>
        </is>
      </c>
      <c r="B72" s="26" t="n">
        <v>70</v>
      </c>
      <c r="C72" s="25" t="inlineStr">
        <is>
          <t>Designing the first PCB and an introduction to EasyEDA</t>
        </is>
      </c>
      <c r="D72" s="26" t="inlineStr">
        <is>
          <t>Not started</t>
        </is>
      </c>
      <c r="E72" s="28" t="n"/>
      <c r="F72" s="40" t="n"/>
      <c r="G72" s="40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 ht="30" customHeight="1" s="21">
      <c r="A73" s="25" t="inlineStr">
        <is>
          <t>Professional Electronic Design Course</t>
        </is>
      </c>
      <c r="B73" s="26" t="n">
        <v>71</v>
      </c>
      <c r="C73" s="25" t="inlineStr">
        <is>
          <t>Designing a PCB for a sound detector circuit</t>
        </is>
      </c>
      <c r="D73" s="26" t="inlineStr">
        <is>
          <t>Not started</t>
        </is>
      </c>
      <c r="E73" s="28" t="n"/>
      <c r="F73" s="40" t="n"/>
      <c r="G73" s="40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4" ht="30" customHeight="1" s="21">
      <c r="A74" s="25" t="inlineStr">
        <is>
          <t>Professional Electronic Design Course</t>
        </is>
      </c>
      <c r="B74" s="26" t="n">
        <v>72</v>
      </c>
      <c r="C74" s="25" t="inlineStr">
        <is>
          <t>What matters about isolation in PCBs</t>
        </is>
      </c>
      <c r="D74" s="26" t="inlineStr">
        <is>
          <t>Not started</t>
        </is>
      </c>
      <c r="E74" s="28" t="n"/>
      <c r="F74" s="40" t="n"/>
      <c r="G74" s="40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</row>
    <row r="75" ht="30" customHeight="1" s="21">
      <c r="A75" s="25" t="inlineStr">
        <is>
          <t>Professional Electronic Design Course</t>
        </is>
      </c>
      <c r="B75" s="26" t="n">
        <v>73</v>
      </c>
      <c r="C75" s="25" t="inlineStr">
        <is>
          <t>What creepage means in PCB design and why it matters</t>
        </is>
      </c>
      <c r="D75" s="26" t="inlineStr">
        <is>
          <t>Not started</t>
        </is>
      </c>
      <c r="E75" s="28" t="n"/>
      <c r="F75" s="40" t="n"/>
      <c r="G75" s="40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</row>
    <row r="76" ht="30" customHeight="1" s="21">
      <c r="A76" s="25" t="inlineStr">
        <is>
          <t>Professional Electronic Design Course</t>
        </is>
      </c>
      <c r="B76" s="26" t="n">
        <v>74</v>
      </c>
      <c r="C76" s="25" t="inlineStr">
        <is>
          <t>SMD soldering and what a stencil is</t>
        </is>
      </c>
      <c r="D76" s="26" t="inlineStr">
        <is>
          <t>Not started</t>
        </is>
      </c>
      <c r="E76" s="28" t="n"/>
      <c r="F76" s="40" t="n"/>
      <c r="G76" s="40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</row>
    <row r="77" ht="30" customHeight="1" s="21">
      <c r="A77" s="25" t="inlineStr">
        <is>
          <t>Professional Electronic Design Course</t>
        </is>
      </c>
      <c r="B77" s="26" t="n">
        <v>75</v>
      </c>
      <c r="C77" s="25" t="inlineStr">
        <is>
          <t>Manufacturing a PCB on aluminium</t>
        </is>
      </c>
      <c r="D77" s="26" t="inlineStr">
        <is>
          <t>Not started</t>
        </is>
      </c>
      <c r="E77" s="28" t="n"/>
      <c r="F77" s="40" t="n"/>
      <c r="G77" s="40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</row>
    <row r="78" ht="30" customHeight="1" s="21">
      <c r="A78" s="25" t="inlineStr">
        <is>
          <t>Professional Electronic Design Course</t>
        </is>
      </c>
      <c r="B78" s="26" t="n">
        <v>76</v>
      </c>
      <c r="C78" s="25" t="inlineStr">
        <is>
          <t>Important considerations in PCB manufacturing for a more robust design</t>
        </is>
      </c>
      <c r="D78" s="26" t="inlineStr">
        <is>
          <t>Not started</t>
        </is>
      </c>
      <c r="E78" s="28" t="n"/>
      <c r="F78" s="40" t="n"/>
      <c r="G78" s="40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</row>
    <row r="79" ht="30" customHeight="1" s="21">
      <c r="A79" s="25" t="inlineStr">
        <is>
          <t>Professional Electronic Design Course</t>
        </is>
      </c>
      <c r="B79" s="26" t="n">
        <v>77</v>
      </c>
      <c r="C79" s="25" t="inlineStr">
        <is>
          <t>How to benefit from electronic design experience, practically and financially</t>
        </is>
      </c>
      <c r="D79" s="26" t="inlineStr">
        <is>
          <t>Not started</t>
        </is>
      </c>
      <c r="E79" s="28" t="n"/>
      <c r="F79" s="40" t="n"/>
      <c r="G79" s="40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</row>
  </sheetData>
  <autoFilter ref="A4:P200"/>
  <mergeCells count="2">
    <mergeCell ref="A1:P1"/>
    <mergeCell ref="A2:P2"/>
  </mergeCells>
  <dataValidations count="1">
    <dataValidation sqref="D5:D20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10" r:id="rId1"/>
    <hyperlink xmlns:r="http://schemas.openxmlformats.org/officeDocument/2006/relationships" ref="G10" r:id="rId2"/>
    <hyperlink xmlns:r="http://schemas.openxmlformats.org/officeDocument/2006/relationships" ref="F11" r:id="rId3"/>
    <hyperlink xmlns:r="http://schemas.openxmlformats.org/officeDocument/2006/relationships" ref="G11" r:id="rId4"/>
    <hyperlink xmlns:r="http://schemas.openxmlformats.org/officeDocument/2006/relationships" ref="F12" r:id="rId5"/>
    <hyperlink xmlns:r="http://schemas.openxmlformats.org/officeDocument/2006/relationships" ref="G12" r:id="rId6"/>
    <hyperlink xmlns:r="http://schemas.openxmlformats.org/officeDocument/2006/relationships" ref="F13" r:id="rId7"/>
    <hyperlink xmlns:r="http://schemas.openxmlformats.org/officeDocument/2006/relationships" ref="G13" r:id="rId8"/>
    <hyperlink xmlns:r="http://schemas.openxmlformats.org/officeDocument/2006/relationships" ref="F14" r:id="rId9"/>
    <hyperlink xmlns:r="http://schemas.openxmlformats.org/officeDocument/2006/relationships" ref="G14" r:id="rId10"/>
    <hyperlink xmlns:r="http://schemas.openxmlformats.org/officeDocument/2006/relationships" ref="F15" r:id="rId11"/>
    <hyperlink xmlns:r="http://schemas.openxmlformats.org/officeDocument/2006/relationships" ref="G15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COUNTA(Episodes!B5:B200)</f>
        <v/>
      </c>
    </row>
    <row r="4" ht="15" customHeight="1" s="21">
      <c r="A4" s="34" t="inlineStr">
        <is>
          <t>Done</t>
        </is>
      </c>
      <c r="B4" s="35">
        <f>COUNTIF(Episodes!D5:D200,"Done")</f>
        <v/>
      </c>
    </row>
    <row r="5" ht="15" customHeight="1" s="21">
      <c r="A5" s="34" t="inlineStr">
        <is>
          <t>In progress</t>
        </is>
      </c>
      <c r="B5" s="35">
        <f>COUNTIF(Episodes!D5:D200,"In progress")</f>
        <v/>
      </c>
    </row>
    <row r="6" ht="15" customHeight="1" s="21">
      <c r="A6" s="34" t="inlineStr">
        <is>
          <t>Not started</t>
        </is>
      </c>
      <c r="B6" s="35">
        <f>COUNTIF(Episodes!D5:D200,"Not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IF(B3=0,"-",MAX(Episodes!B5:B200))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COUNTIF(Episodes!A5:A200,A11)</f>
        <v/>
      </c>
    </row>
    <row r="12" ht="15" customHeight="1" s="21">
      <c r="A12" s="38" t="inlineStr">
        <is>
          <t>(add course 2 name)</t>
        </is>
      </c>
      <c r="B12" s="34">
        <f>COUNTIF(Episodes!A5:A200,A12)</f>
        <v/>
      </c>
    </row>
    <row r="13" ht="15" customHeight="1" s="21">
      <c r="A13" s="38" t="inlineStr">
        <is>
          <t>(add course 3 name)</t>
        </is>
      </c>
      <c r="B13" s="34">
        <f>COUNTIF(Episodes!A5:A200,A13)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10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2026-10-30T17:51:13Z</dcterms:modified>
  <cp:revision>0</cp:revision>
</cp:coreProperties>
</file>